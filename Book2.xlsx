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xcel.xml\"/>
    </mc:Choice>
  </mc:AlternateContent>
  <xr:revisionPtr revIDLastSave="0" documentId="8_{A7B2C02A-0DAB-49FE-A6D3-812EB1B186B2}" xr6:coauthVersionLast="47" xr6:coauthVersionMax="47" xr10:uidLastSave="{00000000-0000-0000-0000-000000000000}"/>
  <bookViews>
    <workbookView xWindow="-108" yWindow="-108" windowWidth="23256" windowHeight="12456" xr2:uid="{88C09DE7-DE1B-4B80-96B7-1C753B193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I12" i="1"/>
  <c r="I13" i="1"/>
  <c r="I14" i="1"/>
  <c r="I11" i="1"/>
  <c r="I7" i="1"/>
  <c r="K3" i="1"/>
  <c r="J3" i="1"/>
  <c r="I3" i="1"/>
</calcChain>
</file>

<file path=xl/sharedStrings.xml><?xml version="1.0" encoding="utf-8"?>
<sst xmlns="http://schemas.openxmlformats.org/spreadsheetml/2006/main" count="61" uniqueCount="45">
  <si>
    <t>Name</t>
  </si>
  <si>
    <t>IT</t>
  </si>
  <si>
    <t>Employee ID</t>
  </si>
  <si>
    <t>Department</t>
  </si>
  <si>
    <t>Role</t>
  </si>
  <si>
    <t>Salary</t>
  </si>
  <si>
    <t>Joining Date</t>
  </si>
  <si>
    <t>E101</t>
  </si>
  <si>
    <t>Arjun Rao</t>
  </si>
  <si>
    <t>Finance</t>
  </si>
  <si>
    <t>Analyst</t>
  </si>
  <si>
    <t>E102</t>
  </si>
  <si>
    <t>Priya Singh</t>
  </si>
  <si>
    <t>HR</t>
  </si>
  <si>
    <t>E103</t>
  </si>
  <si>
    <t>Rohan Das</t>
  </si>
  <si>
    <t>Software Engineer</t>
  </si>
  <si>
    <t>E104</t>
  </si>
  <si>
    <t>Neha Gupta</t>
  </si>
  <si>
    <t>Marketing</t>
  </si>
  <si>
    <t>Content Strategist</t>
  </si>
  <si>
    <t>E105</t>
  </si>
  <si>
    <t>Kiran Kumar</t>
  </si>
  <si>
    <t>Manager</t>
  </si>
  <si>
    <t>E106</t>
  </si>
  <si>
    <t>Sneha Iyer</t>
  </si>
  <si>
    <t>Data Scientist</t>
  </si>
  <si>
    <t>E107</t>
  </si>
  <si>
    <t>Vivek Shah</t>
  </si>
  <si>
    <t>HR Manager</t>
  </si>
  <si>
    <t>E108</t>
  </si>
  <si>
    <t>Ananya Roy</t>
  </si>
  <si>
    <t>SEO Specialist</t>
  </si>
  <si>
    <t>E109</t>
  </si>
  <si>
    <t>Rahul Mehta</t>
  </si>
  <si>
    <t>System Admin</t>
  </si>
  <si>
    <t>E110</t>
  </si>
  <si>
    <t>Divya Nair</t>
  </si>
  <si>
    <t>Accountant</t>
  </si>
  <si>
    <t>salary</t>
  </si>
  <si>
    <t>name</t>
  </si>
  <si>
    <t>deparment</t>
  </si>
  <si>
    <t>role</t>
  </si>
  <si>
    <t>emp_id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</si>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</sst>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18AF9-7FD9-4C81-8D9E-7594A6998D30}" name="Table1" displayName="Table1" ref="A1:F11" totalsRowShown="0" headerRowDxfId="0" dataDxfId="1">
  <autoFilter ref="A1:F11" xr:uid="{D7C18AF9-7FD9-4C81-8D9E-7594A6998D30}"/>
  <tableColumns count="6">
    <tableColumn id="1" xr3:uid="{75628B66-D427-4B35-B0F9-31114F8EAB06}" name="Employee ID" dataDxfId="7"/>
    <tableColumn id="2" xr3:uid="{6AAE5102-75EF-4471-AF72-A757FD889FB8}" name="Name" dataDxfId="6"/>
    <tableColumn id="3" xr3:uid="{58A101AA-7E79-4F9A-B9A8-9F9AE76F0FB7}" name="Department" dataDxfId="5"/>
    <tableColumn id="4" xr3:uid="{CDE1DAF5-701B-4E6B-AB99-892AFE1065A6}" name="Role" dataDxfId="4"/>
    <tableColumn id="5" xr3:uid="{0422E607-840D-4255-A765-161D1B9C2F1C}" name="Salary" dataDxfId="3"/>
    <tableColumn id="6" xr3:uid="{4787B23C-2D6F-474D-8CE2-2B59963ED037}" name="Joining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197A-E543-4B8B-8C4A-5DFF61C0C533}">
  <dimension ref="A1:K15"/>
  <sheetViews>
    <sheetView tabSelected="1" workbookViewId="0">
      <selection activeCell="J7" sqref="J7"/>
    </sheetView>
  </sheetViews>
  <sheetFormatPr defaultRowHeight="14.4" x14ac:dyDescent="0.3"/>
  <cols>
    <col min="1" max="1" width="13.44140625" customWidth="1"/>
    <col min="3" max="3" width="13" customWidth="1"/>
    <col min="4" max="4" width="8.6640625" bestFit="1" customWidth="1"/>
    <col min="5" max="5" width="8" customWidth="1"/>
    <col min="6" max="6" width="13.109375" customWidth="1"/>
    <col min="8" max="8" width="20.109375" bestFit="1" customWidth="1"/>
    <col min="9" max="9" width="9.44140625" bestFit="1" customWidth="1"/>
    <col min="10" max="10" width="16" bestFit="1" customWidth="1"/>
    <col min="11" max="11" width="10.77734375" bestFit="1" customWidth="1"/>
  </cols>
  <sheetData>
    <row r="1" spans="1:11" ht="28.8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</row>
    <row r="2" spans="1:11" x14ac:dyDescent="0.3">
      <c r="A2" s="2" t="s">
        <v>7</v>
      </c>
      <c r="B2" s="2" t="s">
        <v>8</v>
      </c>
      <c r="C2" s="2" t="s">
        <v>9</v>
      </c>
      <c r="D2" s="2" t="s">
        <v>10</v>
      </c>
      <c r="E2" s="3">
        <v>45000</v>
      </c>
      <c r="F2" s="4">
        <v>44208</v>
      </c>
      <c r="H2" t="s">
        <v>40</v>
      </c>
      <c r="I2" t="s">
        <v>39</v>
      </c>
      <c r="J2" t="s">
        <v>41</v>
      </c>
      <c r="K2" t="s">
        <v>42</v>
      </c>
    </row>
    <row r="3" spans="1:11" ht="28.8" x14ac:dyDescent="0.3">
      <c r="A3" s="2" t="s">
        <v>11</v>
      </c>
      <c r="B3" s="2" t="s">
        <v>12</v>
      </c>
      <c r="C3" s="2" t="s">
        <v>13</v>
      </c>
      <c r="D3" s="2" t="s">
        <v>29</v>
      </c>
      <c r="E3" s="3">
        <v>38000</v>
      </c>
      <c r="F3" s="4">
        <v>43895</v>
      </c>
      <c r="H3" s="2" t="s">
        <v>8</v>
      </c>
      <c r="I3">
        <f>_xlfn.XLOOKUP(H3,Table1[Name],Table1[Salary])</f>
        <v>45000</v>
      </c>
      <c r="J3" t="str">
        <f>_xlfn.XLOOKUP(H3,Table1[Name],Table1[Department])</f>
        <v>Finance</v>
      </c>
      <c r="K3" t="str">
        <f>_xlfn.XLOOKUP(H3,Table1[Name],Table1[Role])</f>
        <v>Analyst</v>
      </c>
    </row>
    <row r="4" spans="1:11" ht="28.8" x14ac:dyDescent="0.3">
      <c r="A4" s="2" t="s">
        <v>14</v>
      </c>
      <c r="B4" s="2" t="s">
        <v>15</v>
      </c>
      <c r="C4" s="2" t="s">
        <v>1</v>
      </c>
      <c r="D4" s="2" t="s">
        <v>16</v>
      </c>
      <c r="E4" s="3">
        <v>60000</v>
      </c>
      <c r="F4" s="4">
        <v>44762</v>
      </c>
      <c r="H4" s="2"/>
    </row>
    <row r="5" spans="1:11" ht="28.8" x14ac:dyDescent="0.3">
      <c r="A5" s="2" t="s">
        <v>17</v>
      </c>
      <c r="B5" s="2" t="s">
        <v>18</v>
      </c>
      <c r="C5" s="2" t="s">
        <v>19</v>
      </c>
      <c r="D5" s="2" t="s">
        <v>20</v>
      </c>
      <c r="E5" s="3">
        <v>50000</v>
      </c>
      <c r="F5" s="4">
        <v>43753</v>
      </c>
      <c r="H5" s="2"/>
    </row>
    <row r="6" spans="1:11" ht="28.8" x14ac:dyDescent="0.3">
      <c r="A6" s="2" t="s">
        <v>21</v>
      </c>
      <c r="B6" s="2" t="s">
        <v>22</v>
      </c>
      <c r="C6" s="2" t="s">
        <v>9</v>
      </c>
      <c r="D6" s="2" t="s">
        <v>23</v>
      </c>
      <c r="E6" s="3">
        <v>75000</v>
      </c>
      <c r="F6" s="4">
        <v>43435</v>
      </c>
      <c r="H6" s="2" t="s">
        <v>43</v>
      </c>
      <c r="I6" t="s">
        <v>40</v>
      </c>
    </row>
    <row r="7" spans="1:11" ht="28.8" x14ac:dyDescent="0.3">
      <c r="A7" s="2" t="s">
        <v>24</v>
      </c>
      <c r="B7" s="2" t="s">
        <v>25</v>
      </c>
      <c r="C7" s="2" t="s">
        <v>1</v>
      </c>
      <c r="D7" s="2" t="s">
        <v>26</v>
      </c>
      <c r="E7" s="3">
        <v>85000</v>
      </c>
      <c r="F7" s="4">
        <v>44967</v>
      </c>
      <c r="H7" s="2" t="s">
        <v>24</v>
      </c>
      <c r="I7" t="str">
        <f>_xlfn.XLOOKUP(H7,Table1[Employee ID],Table1[Name])</f>
        <v>Sneha Iyer</v>
      </c>
    </row>
    <row r="8" spans="1:11" ht="28.8" x14ac:dyDescent="0.3">
      <c r="A8" s="2" t="s">
        <v>27</v>
      </c>
      <c r="B8" s="2" t="s">
        <v>28</v>
      </c>
      <c r="C8" s="2" t="s">
        <v>13</v>
      </c>
      <c r="D8" s="2" t="s">
        <v>29</v>
      </c>
      <c r="E8" s="3">
        <v>70000</v>
      </c>
      <c r="F8" s="4">
        <v>42972</v>
      </c>
      <c r="H8" s="2"/>
    </row>
    <row r="9" spans="1:11" ht="28.8" x14ac:dyDescent="0.3">
      <c r="A9" s="2" t="s">
        <v>30</v>
      </c>
      <c r="B9" s="2" t="s">
        <v>31</v>
      </c>
      <c r="C9" s="2" t="s">
        <v>19</v>
      </c>
      <c r="D9" s="2" t="s">
        <v>32</v>
      </c>
      <c r="E9" s="3">
        <v>42000</v>
      </c>
      <c r="F9" s="4">
        <v>44377</v>
      </c>
    </row>
    <row r="10" spans="1:11" ht="28.8" x14ac:dyDescent="0.3">
      <c r="A10" s="2" t="s">
        <v>33</v>
      </c>
      <c r="B10" s="2" t="s">
        <v>34</v>
      </c>
      <c r="C10" s="2" t="s">
        <v>1</v>
      </c>
      <c r="D10" s="2" t="s">
        <v>35</v>
      </c>
      <c r="E10" s="3">
        <v>55000</v>
      </c>
      <c r="F10" s="4">
        <v>44092</v>
      </c>
      <c r="H10" t="s">
        <v>40</v>
      </c>
      <c r="I10" t="s">
        <v>44</v>
      </c>
    </row>
    <row r="11" spans="1:11" ht="28.8" x14ac:dyDescent="0.3">
      <c r="A11" s="2" t="s">
        <v>36</v>
      </c>
      <c r="B11" s="2" t="s">
        <v>37</v>
      </c>
      <c r="C11" s="2" t="s">
        <v>9</v>
      </c>
      <c r="D11" s="2" t="s">
        <v>38</v>
      </c>
      <c r="E11" s="3">
        <v>48000</v>
      </c>
      <c r="F11" s="4">
        <v>43791</v>
      </c>
      <c r="H11" s="5" t="s">
        <v>8</v>
      </c>
      <c r="I11" s="2" t="str">
        <f>IF(E2&gt;=70000,"high",IF(E2&gt;=50000,"medium","low"))</f>
        <v>low</v>
      </c>
    </row>
    <row r="12" spans="1:11" x14ac:dyDescent="0.3">
      <c r="H12" s="6" t="s">
        <v>12</v>
      </c>
      <c r="I12" s="2" t="str">
        <f>IF(E3&gt;=70000,"high",IF(E3&gt;=50000,"medium","low"))</f>
        <v>low</v>
      </c>
    </row>
    <row r="13" spans="1:11" x14ac:dyDescent="0.3">
      <c r="H13" s="5" t="s">
        <v>15</v>
      </c>
      <c r="I13" s="2" t="str">
        <f t="shared" ref="I12:I15" si="0">IF(E4&gt;=70000,"high",IF(E4&gt;=50000,"medium","low"))</f>
        <v>medium</v>
      </c>
    </row>
    <row r="14" spans="1:11" x14ac:dyDescent="0.3">
      <c r="H14" s="6" t="s">
        <v>18</v>
      </c>
      <c r="I14" s="2" t="str">
        <f t="shared" si="0"/>
        <v>medium</v>
      </c>
    </row>
    <row r="15" spans="1:11" x14ac:dyDescent="0.3">
      <c r="H15" s="5" t="s">
        <v>22</v>
      </c>
      <c r="I15" s="2" t="str">
        <f>IF(E6&gt;=70000,"high",IF(E6&gt;=50000,"medium","low"))</f>
        <v>high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Sujitha Chowdary</dc:creator>
  <cp:lastModifiedBy>Sujitha Chowdary</cp:lastModifiedBy>
  <dcterms:created xsi:type="dcterms:W3CDTF">2026-04-19T08:14:48Z</dcterms:created>
  <dcterms:modified xsi:type="dcterms:W3CDTF">2026-04-19T09:18:35Z</dcterms:modified>
</cp:coreProperties>
</file>