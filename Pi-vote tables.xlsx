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7.xml" ContentType="application/vnd.openxmlformats-officedocument.spreadsheetml.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8.xml" ContentType="application/vnd.openxmlformats-officedocument.spreadsheetml.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LL\Documents\excel.xml\"/>
    </mc:Choice>
  </mc:AlternateContent>
  <xr:revisionPtr revIDLastSave="0" documentId="13_ncr:1_{0DB67A16-3B96-4821-A4E9-D34D5F17050F}" xr6:coauthVersionLast="47" xr6:coauthVersionMax="47" xr10:uidLastSave="{00000000-0000-0000-0000-000000000000}"/>
  <bookViews>
    <workbookView xWindow="-108" yWindow="-108" windowWidth="23256" windowHeight="12456" firstSheet="1" activeTab="5" xr2:uid="{677CDC1A-40C3-45B3-A91A-2C9695995AB5}"/>
  </bookViews>
  <sheets>
    <sheet name="Pivote &amp; formulas" sheetId="3" r:id="rId1"/>
    <sheet name="Dashboard Table" sheetId="4" r:id="rId2"/>
    <sheet name="dashboard" sheetId="5" r:id="rId3"/>
    <sheet name="Dash-1" sheetId="6" r:id="rId4"/>
    <sheet name="Dash-2" sheetId="7" r:id="rId5"/>
    <sheet name="Dash3" sheetId="8" r:id="rId6"/>
  </sheets>
  <definedNames>
    <definedName name="Slicer_Category">#N/A</definedName>
    <definedName name="Slicer_Product">#N/A</definedName>
    <definedName name="Slicer_Product2">#N/A</definedName>
    <definedName name="Slicer_Region">#N/A</definedName>
    <definedName name="Slicer_Region1">#N/A</definedName>
    <definedName name="Slicer_Region2">#N/A</definedName>
    <definedName name="Slicer_Salesperson">#N/A</definedName>
  </definedNames>
  <calcPr calcId="191029"/>
  <pivotCaches>
    <pivotCache cacheId="1" r:id="rId7"/>
    <pivotCache cacheId="6" r:id="rId8"/>
    <pivotCache cacheId="16"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5" i="3" l="1"/>
  <c r="I293" i="3"/>
  <c r="F292" i="3"/>
  <c r="L289" i="3"/>
  <c r="I282" i="3"/>
  <c r="L294" i="3" s="1"/>
  <c r="I283" i="3"/>
  <c r="I284" i="3"/>
  <c r="L283" i="3" s="1"/>
  <c r="H282" i="3"/>
  <c r="H283" i="3"/>
  <c r="H284" i="3"/>
  <c r="I281" i="3"/>
  <c r="H281" i="3"/>
  <c r="L277" i="3" s="1"/>
  <c r="I226" i="3"/>
  <c r="I254" i="3"/>
  <c r="G251" i="3"/>
  <c r="G249" i="3"/>
  <c r="I230" i="3"/>
  <c r="I228" i="3"/>
  <c r="H219" i="3"/>
  <c r="J207" i="3"/>
  <c r="J208" i="3"/>
  <c r="J209" i="3"/>
  <c r="J210" i="3"/>
  <c r="J211" i="3"/>
  <c r="J212" i="3"/>
  <c r="J213" i="3"/>
  <c r="J214" i="3"/>
  <c r="J215" i="3"/>
  <c r="J206" i="3"/>
  <c r="I207" i="3"/>
  <c r="I208" i="3"/>
  <c r="I209" i="3"/>
  <c r="I210" i="3"/>
  <c r="I211" i="3"/>
  <c r="I212" i="3"/>
  <c r="I213" i="3"/>
  <c r="I214" i="3"/>
  <c r="I215" i="3"/>
  <c r="I206" i="3"/>
</calcChain>
</file>

<file path=xl/sharedStrings.xml><?xml version="1.0" encoding="utf-8"?>
<sst xmlns="http://schemas.openxmlformats.org/spreadsheetml/2006/main" count="608" uniqueCount="257">
  <si>
    <t>Region</t>
  </si>
  <si>
    <t>Product</t>
  </si>
  <si>
    <t>Category</t>
  </si>
  <si>
    <t>Units Sold</t>
  </si>
  <si>
    <t>Total Sales</t>
  </si>
  <si>
    <t>Ravi</t>
  </si>
  <si>
    <t>South</t>
  </si>
  <si>
    <t>Laptop</t>
  </si>
  <si>
    <t>Electronics</t>
  </si>
  <si>
    <t>Priya</t>
  </si>
  <si>
    <t>North</t>
  </si>
  <si>
    <t>Mouse</t>
  </si>
  <si>
    <t>Accessories</t>
  </si>
  <si>
    <t>Arun</t>
  </si>
  <si>
    <t>East</t>
  </si>
  <si>
    <t>Keyboard</t>
  </si>
  <si>
    <t>Sneha</t>
  </si>
  <si>
    <t>West</t>
  </si>
  <si>
    <t>Mobile</t>
  </si>
  <si>
    <t>Headphones</t>
  </si>
  <si>
    <t>Row Labels</t>
  </si>
  <si>
    <t>Grand Total</t>
  </si>
  <si>
    <t>Sum of Total Sales</t>
  </si>
  <si>
    <t>1.Region-wise Total Sales</t>
  </si>
  <si>
    <t>2.Region-wise Total Sales</t>
  </si>
  <si>
    <t>Sum of Units Sold</t>
  </si>
  <si>
    <t>3.Salesperson-wise Total Sales</t>
  </si>
  <si>
    <t>4.Category-wise Total Sales</t>
  </si>
  <si>
    <t>5.Region-wise Product Sales</t>
  </si>
  <si>
    <t>Column Labels</t>
  </si>
  <si>
    <t>se product unit sold</t>
  </si>
  <si>
    <t>6.Salesper wise Product Unit Sold</t>
  </si>
  <si>
    <t>7.Category-wise Average Unit Price</t>
  </si>
  <si>
    <t>Average of Unit Price</t>
  </si>
  <si>
    <t>8.Region-wise Maximum Sales</t>
  </si>
  <si>
    <t>Max of Total Sales</t>
  </si>
  <si>
    <t>9.Show only South region Laptop sales</t>
  </si>
  <si>
    <t>(All)</t>
  </si>
  <si>
    <t>10.Date-Wise Total Sales</t>
  </si>
  <si>
    <t xml:space="preserve">              Pivot Table Sorting</t>
  </si>
  <si>
    <t>Who has highest sales?</t>
  </si>
  <si>
    <t>Sheha is highest sales person</t>
  </si>
  <si>
    <t>Which region sold the most units?</t>
  </si>
  <si>
    <t>Which region sold the most units</t>
  </si>
  <si>
    <t>s?</t>
  </si>
  <si>
    <t xml:space="preserve">              South</t>
  </si>
  <si>
    <t>Sorting helps answer business questions quickly.</t>
  </si>
  <si>
    <t>Example:</t>
  </si>
  <si>
    <t>Which product performs best?</t>
  </si>
  <si>
    <t>Which region is weakest?</t>
  </si>
  <si>
    <t xml:space="preserve">      Slicers</t>
  </si>
  <si>
    <t/>
  </si>
  <si>
    <t xml:space="preserve">       Pivot Charts</t>
  </si>
  <si>
    <t>Formulas</t>
  </si>
  <si>
    <t>Student Name</t>
  </si>
  <si>
    <t>Subject</t>
  </si>
  <si>
    <t>Marks</t>
  </si>
  <si>
    <t>Math</t>
  </si>
  <si>
    <t>Science</t>
  </si>
  <si>
    <t>English</t>
  </si>
  <si>
    <t>Kiran</t>
  </si>
  <si>
    <t>Meena</t>
  </si>
  <si>
    <t>Ajay</t>
  </si>
  <si>
    <t>Divya</t>
  </si>
  <si>
    <t>Rahul</t>
  </si>
  <si>
    <t>Pooja</t>
  </si>
  <si>
    <t>Result</t>
  </si>
  <si>
    <t>Result-2</t>
  </si>
  <si>
    <t>Total students &gt;50</t>
  </si>
  <si>
    <t>Student</t>
  </si>
  <si>
    <t xml:space="preserve">       COUNTIF</t>
  </si>
  <si>
    <t>1.How many students scored more than 50?</t>
  </si>
  <si>
    <t>2.How many students failed?</t>
  </si>
  <si>
    <t>3.How many students scored exactly 88?</t>
  </si>
  <si>
    <t>COUNTIF is used to:</t>
  </si>
  <si>
    <t>count data based on a condition</t>
  </si>
  <si>
    <t>How many students passed?</t>
  </si>
  <si>
    <t>How many sales are above 50000?</t>
  </si>
  <si>
    <t>How many employees are from South region?</t>
  </si>
  <si>
    <t xml:space="preserve">  SUMIF Formula</t>
  </si>
  <si>
    <t>This is like COUNTIF, but instead of counting…</t>
  </si>
  <si>
    <t>it ADDS values based on a condition.</t>
  </si>
  <si>
    <t>Total sales only for South region</t>
  </si>
  <si>
    <t>Total marks only for passed students</t>
  </si>
  <si>
    <t>Total units sold for Laptop</t>
  </si>
  <si>
    <t>1.Find total marks greater than 50.</t>
  </si>
  <si>
    <t>2.Find total marks less than 50.</t>
  </si>
  <si>
    <t>Sales</t>
  </si>
  <si>
    <t>**Total South Sales?</t>
  </si>
  <si>
    <t xml:space="preserve">     VLOOKUP</t>
  </si>
  <si>
    <t>VLOOKUP is used to:</t>
  </si>
  <si>
    <t>search and fetch data automatically</t>
  </si>
  <si>
    <t>Find employee salary using employee ID</t>
  </si>
  <si>
    <t>Find product price using product name</t>
  </si>
  <si>
    <t>Find student marks using roll number</t>
  </si>
  <si>
    <t>Price</t>
  </si>
  <si>
    <t>Now if you type:</t>
  </si>
  <si>
    <t>Excel can automatically return:</t>
  </si>
  <si>
    <t>500 using VLOOKUP</t>
  </si>
  <si>
    <t>*Mouse</t>
  </si>
  <si>
    <t>A</t>
  </si>
  <si>
    <t>B</t>
  </si>
  <si>
    <t>C</t>
  </si>
  <si>
    <t>Product ID</t>
  </si>
  <si>
    <t>P101</t>
  </si>
  <si>
    <t>P102</t>
  </si>
  <si>
    <t>P103</t>
  </si>
  <si>
    <t>P104</t>
  </si>
  <si>
    <t>^</t>
  </si>
  <si>
    <t xml:space="preserve">   IF formula</t>
  </si>
  <si>
    <t>NestedIF</t>
  </si>
  <si>
    <t>ProductID</t>
  </si>
  <si>
    <t>Sample Dataset to find "product" and Price</t>
  </si>
  <si>
    <t>Write a VLOOKUP formula to return:</t>
  </si>
  <si>
    <t>Product name</t>
  </si>
  <si>
    <t>Use VLOOKUP to return:</t>
  </si>
  <si>
    <t>n : product name</t>
  </si>
  <si>
    <r>
      <t xml:space="preserve">  </t>
    </r>
    <r>
      <rPr>
        <sz val="11"/>
        <color rgb="FFFF0000"/>
        <rFont val="Calibri"/>
        <family val="2"/>
        <scheme val="minor"/>
      </rPr>
      <t>2.</t>
    </r>
    <r>
      <rPr>
        <sz val="11"/>
        <color theme="1"/>
        <rFont val="Calibri"/>
        <family val="2"/>
        <scheme val="minor"/>
      </rPr>
      <t xml:space="preserve">  Use VLOOKUP to return: Price</t>
    </r>
  </si>
  <si>
    <t>If:</t>
  </si>
  <si>
    <t>Return:</t>
  </si>
  <si>
    <t>Return:Product Name</t>
  </si>
  <si>
    <r>
      <t xml:space="preserve">  </t>
    </r>
    <r>
      <rPr>
        <sz val="11"/>
        <color rgb="FFFF0000"/>
        <rFont val="Calibri"/>
        <family val="2"/>
        <scheme val="minor"/>
      </rPr>
      <t>3.</t>
    </r>
    <r>
      <rPr>
        <sz val="11"/>
        <color theme="1"/>
        <rFont val="Calibri"/>
        <family val="2"/>
        <scheme val="minor"/>
      </rPr>
      <t xml:space="preserve">  If:</t>
    </r>
  </si>
  <si>
    <t>Product Name</t>
  </si>
  <si>
    <t>P105</t>
  </si>
  <si>
    <t>Return: Price</t>
  </si>
  <si>
    <r>
      <t xml:space="preserve">  </t>
    </r>
    <r>
      <rPr>
        <sz val="11"/>
        <color rgb="FFFF0000"/>
        <rFont val="Calibri"/>
        <family val="2"/>
        <scheme val="minor"/>
      </rPr>
      <t>4.</t>
    </r>
    <r>
      <rPr>
        <sz val="11"/>
        <color theme="1"/>
        <rFont val="Calibri"/>
        <family val="2"/>
        <scheme val="minor"/>
      </rPr>
      <t xml:space="preserve">  If:</t>
    </r>
  </si>
  <si>
    <t>Employee ID</t>
  </si>
  <si>
    <t>Name</t>
  </si>
  <si>
    <t>Salary</t>
  </si>
  <si>
    <t>E101</t>
  </si>
  <si>
    <t>E102</t>
  </si>
  <si>
    <t>E103</t>
  </si>
  <si>
    <t>E104</t>
  </si>
  <si>
    <t>Sample Data Table</t>
  </si>
  <si>
    <r>
      <rPr>
        <sz val="11"/>
        <color rgb="FFFF0000"/>
        <rFont val="Calibri"/>
        <family val="2"/>
        <scheme val="minor"/>
      </rPr>
      <t>1.</t>
    </r>
    <r>
      <rPr>
        <sz val="11"/>
        <color theme="1"/>
        <rFont val="Calibri"/>
        <family val="2"/>
        <scheme val="minor"/>
      </rPr>
      <t xml:space="preserve">  K277 = P101</t>
    </r>
  </si>
  <si>
    <t>K283= P104</t>
  </si>
  <si>
    <t>K286 = P105</t>
  </si>
  <si>
    <t>K294 = P102</t>
  </si>
  <si>
    <t>Employee Name</t>
  </si>
  <si>
    <r>
      <rPr>
        <sz val="11"/>
        <color rgb="FFFF0000"/>
        <rFont val="Calibri"/>
        <family val="2"/>
        <scheme val="minor"/>
      </rPr>
      <t xml:space="preserve"> 5.</t>
    </r>
    <r>
      <rPr>
        <sz val="11"/>
        <color theme="1"/>
        <rFont val="Calibri"/>
        <family val="2"/>
        <scheme val="minor"/>
      </rPr>
      <t xml:space="preserve">   If:</t>
    </r>
  </si>
  <si>
    <t>F292 = E103</t>
  </si>
  <si>
    <r>
      <t xml:space="preserve">            </t>
    </r>
    <r>
      <rPr>
        <sz val="11"/>
        <color rgb="FFFF0000"/>
        <rFont val="Calibri"/>
        <family val="2"/>
        <scheme val="minor"/>
      </rPr>
      <t>6.</t>
    </r>
    <r>
      <rPr>
        <sz val="11"/>
        <color theme="1"/>
        <rFont val="Calibri"/>
        <family val="2"/>
        <scheme val="minor"/>
      </rPr>
      <t xml:space="preserve">  Using same employee table:</t>
    </r>
  </si>
  <si>
    <t>Emp_Id</t>
  </si>
  <si>
    <t>emp_Name</t>
  </si>
  <si>
    <t>H293 = E104</t>
  </si>
  <si>
    <t xml:space="preserve"> ==&gt; becoz there no product 105</t>
  </si>
  <si>
    <t>Suppose:</t>
  </si>
  <si>
    <t>Write a formula that:</t>
  </si>
  <si>
    <t>uses VLOOKUP</t>
  </si>
  <si>
    <r>
      <t xml:space="preserve">but instead of </t>
    </r>
    <r>
      <rPr>
        <sz val="10"/>
        <color theme="1"/>
        <rFont val="Arial Unicode MS"/>
      </rPr>
      <t>#N/A</t>
    </r>
  </si>
  <si>
    <t>displays:</t>
  </si>
  <si>
    <t>"Product Not Available"</t>
  </si>
  <si>
    <r>
      <t xml:space="preserve"> </t>
    </r>
    <r>
      <rPr>
        <sz val="14"/>
        <color rgb="FFFF0000"/>
        <rFont val="Calibri"/>
        <family val="2"/>
        <scheme val="minor"/>
      </rPr>
      <t>7.</t>
    </r>
    <r>
      <rPr>
        <sz val="14"/>
        <color theme="1"/>
        <rFont val="Calibri"/>
        <family val="2"/>
        <scheme val="minor"/>
      </rPr>
      <t xml:space="preserve"> Sample Quastion</t>
    </r>
  </si>
  <si>
    <t>Product-Id</t>
  </si>
  <si>
    <t>P199</t>
  </si>
  <si>
    <t>I305 = P999</t>
  </si>
  <si>
    <t xml:space="preserve">   Data Cleaning</t>
  </si>
  <si>
    <t>Most real datasets are messy.</t>
  </si>
  <si>
    <t>Before analysis, analysts clean:</t>
  </si>
  <si>
    <t>spaces</t>
  </si>
  <si>
    <t>duplicates</t>
  </si>
  <si>
    <t>missing values</t>
  </si>
  <si>
    <t>wrong formats</t>
  </si>
  <si>
    <t>inconsistent text</t>
  </si>
  <si>
    <t>wrong data types</t>
  </si>
  <si>
    <t xml:space="preserve">                     Random Data Table</t>
  </si>
  <si>
    <t>Unknown</t>
  </si>
  <si>
    <t xml:space="preserve">             Excel Charts &amp; Dashboard Basics 📊</t>
  </si>
  <si>
    <t>already learned Pivot Charts.</t>
  </si>
  <si>
    <t>Now we’ll learn:</t>
  </si>
  <si>
    <t>normal Excel charts</t>
  </si>
  <si>
    <t>because analysts use both:</t>
  </si>
  <si>
    <t>normal charts</t>
  </si>
  <si>
    <t>Pivot Charts</t>
  </si>
  <si>
    <t>Chart Type</t>
  </si>
  <si>
    <t>Best Use</t>
  </si>
  <si>
    <t>Column Chart</t>
  </si>
  <si>
    <t>Compare categories</t>
  </si>
  <si>
    <t>Bar Chart</t>
  </si>
  <si>
    <t>Compare long names</t>
  </si>
  <si>
    <t>Pie Chart</t>
  </si>
  <si>
    <t>Show percentages/share</t>
  </si>
  <si>
    <t>Line Chart</t>
  </si>
  <si>
    <t>Show trends over time</t>
  </si>
  <si>
    <t>Different charts are used for different purposes.</t>
  </si>
  <si>
    <t xml:space="preserve">    Topic 1 → Column Chart</t>
  </si>
  <si>
    <t xml:space="preserve">  Topic 2--&gt;  Bar Chart</t>
  </si>
  <si>
    <t>Bar charts are useful when:</t>
  </si>
  <si>
    <t>* names are long</t>
  </si>
  <si>
    <t>* many categories exist</t>
  </si>
  <si>
    <t>* labels don’t fit properly</t>
  </si>
  <si>
    <t xml:space="preserve">   Topic--&gt;3  Pie charts</t>
  </si>
  <si>
    <t>Furniture</t>
  </si>
  <si>
    <t>Clothing</t>
  </si>
  <si>
    <t xml:space="preserve">      Topic--&gt;4  line charts</t>
  </si>
  <si>
    <t>Line charts are used for:</t>
  </si>
  <si>
    <t>trends over time</t>
  </si>
  <si>
    <t>* monthly sales</t>
  </si>
  <si>
    <t>* yearly profit</t>
  </si>
  <si>
    <t>Month</t>
  </si>
  <si>
    <t>Jan</t>
  </si>
  <si>
    <t>Feb</t>
  </si>
  <si>
    <t>Mar</t>
  </si>
  <si>
    <t>Apr</t>
  </si>
  <si>
    <t>May</t>
  </si>
  <si>
    <t>Jun</t>
  </si>
  <si>
    <t xml:space="preserve">          Combo Chart</t>
  </si>
  <si>
    <t>sales and profit</t>
  </si>
  <si>
    <t>revenue and growth</t>
  </si>
  <si>
    <t>units sold and target</t>
  </si>
  <si>
    <t>at the same time.</t>
  </si>
  <si>
    <t>To compare:</t>
  </si>
  <si>
    <t>Profit</t>
  </si>
  <si>
    <t xml:space="preserve">  Dashboard</t>
  </si>
  <si>
    <t>A dashboard is:</t>
  </si>
  <si>
    <t>one screen showing important business insights</t>
  </si>
  <si>
    <t>total sales</t>
  </si>
  <si>
    <t>top region</t>
  </si>
  <si>
    <t xml:space="preserve"> Dashboard</t>
  </si>
  <si>
    <t>KPI</t>
  </si>
  <si>
    <t>Value</t>
  </si>
  <si>
    <t>Total Profit</t>
  </si>
  <si>
    <t>Best Region</t>
  </si>
  <si>
    <t>Best Month</t>
  </si>
  <si>
    <t>Real-Life Example</t>
  </si>
  <si>
    <t>Suppose you are the owner of a shop.</t>
  </si>
  <si>
    <t>Every day you want to quickly see:</t>
  </si>
  <si>
    <t>instead of checking thousands of rows.</t>
  </si>
  <si>
    <t>So you create:</t>
  </si>
  <si>
    <t>charts</t>
  </si>
  <si>
    <t>summary numbers</t>
  </si>
  <si>
    <t>filters</t>
  </si>
  <si>
    <t>on one sheet.</t>
  </si>
  <si>
    <t>THAT becomes a:</t>
  </si>
  <si>
    <t>Dashboard</t>
  </si>
  <si>
    <t>* Total Sales</t>
  </si>
  <si>
    <t>* Best Product</t>
  </si>
  <si>
    <t>* Best Region</t>
  </si>
  <si>
    <t>* Profit</t>
  </si>
  <si>
    <t>* Sales Trend</t>
  </si>
  <si>
    <t>Sum of Sales</t>
  </si>
  <si>
    <t xml:space="preserve">  Dashboard Table</t>
  </si>
  <si>
    <t>Reason-wise Sales</t>
  </si>
  <si>
    <t>Sum of Profit</t>
  </si>
  <si>
    <t>Reason-Wise Profit</t>
  </si>
  <si>
    <t>no</t>
  </si>
  <si>
    <t>Top Product</t>
  </si>
  <si>
    <t>Total Units Sould</t>
  </si>
  <si>
    <t>Product with highest number of units</t>
  </si>
  <si>
    <t>June</t>
  </si>
  <si>
    <t xml:space="preserve">Top Product No of Units </t>
  </si>
  <si>
    <t xml:space="preserve">     Values</t>
  </si>
  <si>
    <t xml:space="preserve">      KPI</t>
  </si>
  <si>
    <t>Highest Profit Month</t>
  </si>
  <si>
    <t>Highest Selling Product</t>
  </si>
  <si>
    <t>Highest no of Units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</si>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</sst>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quot;₹&quot;\ #,##0"/>
  </numFmts>
  <fonts count="18">
    <font>
      <sz val="11"/>
      <color theme="1"/>
      <name val="Calibri"/>
      <family val="2"/>
      <scheme val="minor"/>
    </font>
    <font>
      <sz val="11"/>
      <color rgb="FFFF0000"/>
      <name val="Calibri"/>
      <family val="2"/>
      <scheme val="minor"/>
    </font>
    <font>
      <b/>
      <sz val="11"/>
      <color theme="1"/>
      <name val="Calibri"/>
      <family val="2"/>
      <scheme val="minor"/>
    </font>
    <font>
      <sz val="18"/>
      <color theme="1"/>
      <name val="Calibri"/>
      <family val="2"/>
      <scheme val="minor"/>
    </font>
    <font>
      <sz val="16"/>
      <color theme="1"/>
      <name val="Calibri"/>
      <family val="2"/>
      <scheme val="minor"/>
    </font>
    <font>
      <sz val="14"/>
      <color theme="1"/>
      <name val="Calibri"/>
      <family val="2"/>
      <scheme val="minor"/>
    </font>
    <font>
      <sz val="12"/>
      <color theme="1"/>
      <name val="Calibri"/>
      <family val="2"/>
      <scheme val="minor"/>
    </font>
    <font>
      <b/>
      <sz val="24"/>
      <color theme="1"/>
      <name val="Calibri"/>
      <family val="2"/>
      <scheme val="minor"/>
    </font>
    <font>
      <sz val="8"/>
      <name val="Calibri"/>
      <family val="2"/>
      <scheme val="minor"/>
    </font>
    <font>
      <sz val="10"/>
      <color theme="1"/>
      <name val="Arial Unicode MS"/>
    </font>
    <font>
      <b/>
      <sz val="10"/>
      <color theme="1"/>
      <name val="Arial Unicode MS"/>
    </font>
    <font>
      <sz val="14"/>
      <color rgb="FFFF0000"/>
      <name val="Calibri"/>
      <family val="2"/>
      <scheme val="minor"/>
    </font>
    <font>
      <b/>
      <sz val="18"/>
      <color theme="0"/>
      <name val="Calibri"/>
      <family val="2"/>
      <scheme val="minor"/>
    </font>
    <font>
      <b/>
      <sz val="14"/>
      <color theme="0"/>
      <name val="Calibri"/>
      <family val="2"/>
      <scheme val="minor"/>
    </font>
    <font>
      <sz val="20"/>
      <color theme="1"/>
      <name val="Calibri"/>
      <family val="2"/>
      <scheme val="minor"/>
    </font>
    <font>
      <b/>
      <sz val="20"/>
      <color theme="1"/>
      <name val="Calibri"/>
      <family val="2"/>
      <scheme val="minor"/>
    </font>
    <font>
      <sz val="22"/>
      <color theme="1"/>
      <name val="Calibri"/>
      <family val="2"/>
      <scheme val="minor"/>
    </font>
    <font>
      <b/>
      <sz val="26"/>
      <color theme="1"/>
      <name val="Arial"/>
      <family val="2"/>
    </font>
  </fonts>
  <fills count="9">
    <fill>
      <patternFill patternType="none"/>
    </fill>
    <fill>
      <patternFill patternType="gray125"/>
    </fill>
    <fill>
      <patternFill patternType="solid">
        <fgColor theme="9" tint="0.59999389629810485"/>
        <bgColor indexed="64"/>
      </patternFill>
    </fill>
    <fill>
      <patternFill patternType="solid">
        <fgColor theme="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9" tint="-0.249977111117893"/>
        <bgColor indexed="64"/>
      </patternFill>
    </fill>
  </fills>
  <borders count="3">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3" fillId="2" borderId="0" xfId="0" applyFont="1" applyFill="1"/>
    <xf numFmtId="0" fontId="0" fillId="2" borderId="0" xfId="0" applyFill="1"/>
    <xf numFmtId="0" fontId="0" fillId="0" borderId="0" xfId="0" pivotButton="1"/>
    <xf numFmtId="0" fontId="0" fillId="0" borderId="0" xfId="0" applyAlignment="1">
      <alignment horizontal="left"/>
    </xf>
    <xf numFmtId="16" fontId="0" fillId="0" borderId="0" xfId="0" applyNumberFormat="1" applyAlignment="1">
      <alignment horizontal="left"/>
    </xf>
    <xf numFmtId="0" fontId="3" fillId="3" borderId="0" xfId="0" applyFont="1" applyFill="1"/>
    <xf numFmtId="0" fontId="4" fillId="0" borderId="0" xfId="0" applyFont="1"/>
    <xf numFmtId="0" fontId="4" fillId="2" borderId="0" xfId="0" applyFont="1" applyFill="1"/>
    <xf numFmtId="0" fontId="5" fillId="0" borderId="0" xfId="0" applyFont="1"/>
    <xf numFmtId="0" fontId="0" fillId="4" borderId="0" xfId="0" applyFill="1"/>
    <xf numFmtId="0" fontId="6" fillId="5" borderId="0" xfId="0" applyFont="1" applyFill="1"/>
    <xf numFmtId="0" fontId="6" fillId="5" borderId="0" xfId="0" applyFont="1" applyFill="1" applyAlignment="1">
      <alignment horizontal="left" vertical="center" indent="1"/>
    </xf>
    <xf numFmtId="0" fontId="0" fillId="0" borderId="0" xfId="0" applyAlignment="1">
      <alignment vertical="center"/>
    </xf>
    <xf numFmtId="0" fontId="3" fillId="0" borderId="0" xfId="0" applyFont="1" applyAlignment="1">
      <alignment vertical="center"/>
    </xf>
    <xf numFmtId="0" fontId="3" fillId="3" borderId="0" xfId="0" applyFont="1" applyFill="1" applyAlignment="1">
      <alignment horizontal="left" indent="1"/>
    </xf>
    <xf numFmtId="0" fontId="3" fillId="3" borderId="0" xfId="0" applyFont="1" applyFill="1" applyAlignment="1">
      <alignment vertical="center"/>
    </xf>
    <xf numFmtId="0" fontId="3" fillId="3" borderId="0" xfId="0" applyFont="1" applyFill="1" applyAlignment="1">
      <alignment horizontal="center"/>
    </xf>
    <xf numFmtId="0" fontId="0" fillId="3" borderId="0" xfId="0" applyFill="1" applyAlignment="1">
      <alignment horizontal="center"/>
    </xf>
    <xf numFmtId="0" fontId="0" fillId="6" borderId="0" xfId="0" applyFill="1"/>
    <xf numFmtId="0" fontId="5" fillId="4" borderId="0" xfId="0" applyFont="1" applyFill="1"/>
    <xf numFmtId="0" fontId="7" fillId="4" borderId="0" xfId="0" applyFont="1" applyFill="1" applyAlignment="1">
      <alignment vertical="center"/>
    </xf>
    <xf numFmtId="0" fontId="3" fillId="3" borderId="0" xfId="0" applyFont="1" applyFill="1" applyAlignment="1">
      <alignment vertical="top"/>
    </xf>
    <xf numFmtId="0" fontId="0" fillId="4" borderId="0" xfId="0" applyFill="1" applyAlignment="1">
      <alignment horizontal="left" vertical="center" indent="1"/>
    </xf>
    <xf numFmtId="0" fontId="0" fillId="3" borderId="0" xfId="0" applyFill="1"/>
    <xf numFmtId="0" fontId="1" fillId="0" borderId="0" xfId="0" applyFont="1"/>
    <xf numFmtId="0" fontId="4" fillId="4" borderId="0" xfId="0" applyFont="1" applyFill="1"/>
    <xf numFmtId="0" fontId="0" fillId="0" borderId="0" xfId="0" applyAlignment="1">
      <alignment horizontal="left" vertical="center" indent="1"/>
    </xf>
    <xf numFmtId="0" fontId="2" fillId="4" borderId="0" xfId="0" applyFont="1" applyFill="1"/>
    <xf numFmtId="0" fontId="2" fillId="0" borderId="0" xfId="0" applyFont="1" applyAlignment="1">
      <alignment vertical="center" wrapText="1"/>
    </xf>
    <xf numFmtId="0" fontId="2" fillId="0" borderId="0" xfId="0" applyFont="1"/>
    <xf numFmtId="0" fontId="5" fillId="0" borderId="0" xfId="0" applyFont="1" applyAlignment="1">
      <alignment vertical="center"/>
    </xf>
    <xf numFmtId="0" fontId="6" fillId="0" borderId="0" xfId="0" applyFont="1" applyAlignment="1">
      <alignment vertical="center"/>
    </xf>
    <xf numFmtId="0" fontId="10" fillId="0" borderId="0" xfId="0" applyFont="1" applyAlignment="1">
      <alignment vertical="center"/>
    </xf>
    <xf numFmtId="0" fontId="3" fillId="4" borderId="0" xfId="0" applyFont="1" applyFill="1"/>
    <xf numFmtId="0" fontId="5" fillId="4" borderId="0" xfId="0" applyFont="1" applyFill="1" applyAlignment="1">
      <alignment horizontal="left" vertical="center" indent="1"/>
    </xf>
    <xf numFmtId="0" fontId="0" fillId="0" borderId="1" xfId="0" applyBorder="1" applyAlignment="1">
      <alignment vertical="center" wrapText="1"/>
    </xf>
    <xf numFmtId="164" fontId="0" fillId="0" borderId="1" xfId="0" applyNumberFormat="1" applyBorder="1" applyAlignment="1">
      <alignment vertical="center" wrapText="1"/>
    </xf>
    <xf numFmtId="0" fontId="12" fillId="0" borderId="0" xfId="0" applyFont="1"/>
    <xf numFmtId="0" fontId="3" fillId="4" borderId="0" xfId="0" applyFont="1" applyFill="1" applyAlignment="1">
      <alignment vertical="center"/>
    </xf>
    <xf numFmtId="0" fontId="6" fillId="4" borderId="0" xfId="0" applyFont="1" applyFill="1"/>
    <xf numFmtId="0" fontId="0" fillId="7" borderId="0" xfId="0" applyFill="1"/>
    <xf numFmtId="0" fontId="2" fillId="4" borderId="0" xfId="0" applyFont="1" applyFill="1" applyAlignment="1">
      <alignment horizontal="center" vertical="center" wrapText="1"/>
    </xf>
    <xf numFmtId="0" fontId="0" fillId="4" borderId="0" xfId="0" applyFill="1" applyAlignment="1">
      <alignment vertical="center" wrapText="1"/>
    </xf>
    <xf numFmtId="0" fontId="6" fillId="7" borderId="0" xfId="0" applyFont="1" applyFill="1" applyAlignment="1">
      <alignment horizontal="left" vertical="center" indent="1"/>
    </xf>
    <xf numFmtId="0" fontId="0" fillId="4" borderId="0" xfId="0" applyFill="1" applyAlignment="1">
      <alignment vertical="center"/>
    </xf>
    <xf numFmtId="0" fontId="6" fillId="4" borderId="0" xfId="0" applyFont="1" applyFill="1" applyAlignment="1">
      <alignment horizontal="left" vertical="center" indent="1"/>
    </xf>
    <xf numFmtId="0" fontId="4" fillId="3" borderId="0" xfId="0" applyFont="1" applyFill="1"/>
    <xf numFmtId="0" fontId="6" fillId="0" borderId="0" xfId="0" applyFont="1"/>
    <xf numFmtId="0" fontId="6" fillId="4" borderId="0" xfId="0" applyFont="1" applyFill="1" applyAlignment="1">
      <alignment vertical="center"/>
    </xf>
    <xf numFmtId="0" fontId="0" fillId="0" borderId="0" xfId="0" applyFill="1"/>
    <xf numFmtId="0" fontId="0" fillId="0" borderId="0" xfId="0" applyNumberFormat="1"/>
    <xf numFmtId="0" fontId="3" fillId="4" borderId="0" xfId="0" applyFont="1" applyFill="1" applyBorder="1" applyAlignment="1"/>
    <xf numFmtId="0" fontId="6" fillId="7" borderId="0" xfId="0" applyFont="1" applyFill="1" applyAlignment="1">
      <alignment horizontal="left" indent="2"/>
    </xf>
    <xf numFmtId="0" fontId="13" fillId="8" borderId="2" xfId="0" applyFont="1" applyFill="1" applyBorder="1" applyAlignment="1">
      <alignment horizontal="center" vertical="center" wrapText="1"/>
    </xf>
    <xf numFmtId="0" fontId="6" fillId="2" borderId="2" xfId="0" applyFont="1" applyFill="1" applyBorder="1" applyAlignment="1">
      <alignment vertical="center" wrapText="1"/>
    </xf>
    <xf numFmtId="6" fontId="6" fillId="2" borderId="2" xfId="0" applyNumberFormat="1" applyFont="1" applyFill="1" applyBorder="1" applyAlignment="1">
      <alignment vertical="center" wrapText="1"/>
    </xf>
    <xf numFmtId="164" fontId="2" fillId="0" borderId="0" xfId="0" applyNumberFormat="1" applyFont="1" applyAlignment="1">
      <alignment horizontal="center" vertical="center" wrapText="1"/>
    </xf>
    <xf numFmtId="164" fontId="0" fillId="0" borderId="0" xfId="0" applyNumberFormat="1" applyAlignment="1">
      <alignment vertical="center" wrapText="1"/>
    </xf>
    <xf numFmtId="164" fontId="0" fillId="0" borderId="0" xfId="0" applyNumberFormat="1"/>
    <xf numFmtId="0" fontId="0" fillId="0" borderId="0" xfId="0" applyAlignment="1">
      <alignment horizontal="left" indent="1"/>
    </xf>
    <xf numFmtId="0" fontId="14" fillId="0" borderId="0" xfId="0" applyFont="1" applyFill="1" applyBorder="1"/>
    <xf numFmtId="0" fontId="14" fillId="0" borderId="0" xfId="0" applyFont="1" applyFill="1"/>
    <xf numFmtId="0" fontId="17" fillId="2" borderId="2" xfId="0" applyFont="1" applyFill="1" applyBorder="1" applyAlignment="1">
      <alignment horizontal="left" wrapText="1"/>
    </xf>
    <xf numFmtId="0" fontId="16" fillId="2" borderId="2" xfId="0" applyFont="1" applyFill="1" applyBorder="1" applyAlignment="1">
      <alignment wrapText="1"/>
    </xf>
    <xf numFmtId="0" fontId="15" fillId="2" borderId="2" xfId="0" applyFont="1" applyFill="1" applyBorder="1" applyAlignment="1">
      <alignment wrapText="1"/>
    </xf>
    <xf numFmtId="164" fontId="15" fillId="2" borderId="2" xfId="0" applyNumberFormat="1" applyFont="1" applyFill="1" applyBorder="1" applyAlignment="1">
      <alignment wrapText="1"/>
    </xf>
  </cellXfs>
  <cellStyles count="1">
    <cellStyle name="Normal" xfId="0" builtinId="0"/>
  </cellStyles>
  <dxfs count="42">
    <dxf>
      <numFmt numFmtId="164" formatCode="&quot;₹&quot;\ #,##0"/>
      <alignment horizontal="general" vertical="center" textRotation="0" wrapText="1" indent="0" justifyLastLine="0" shrinkToFit="0" readingOrder="0"/>
    </dxf>
    <dxf>
      <numFmt numFmtId="164" formatCode="&quot;₹&quot;\ #,##0"/>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8" tint="0.59999389629810485"/>
        </patternFill>
      </fill>
      <alignment horizontal="left" vertical="center" textRotation="0" wrapText="0" indent="1" justifyLastLine="0" shrinkToFit="0" readingOrder="0"/>
    </dxf>
    <dxf>
      <font>
        <b val="0"/>
        <i val="0"/>
        <strike val="0"/>
        <condense val="0"/>
        <extend val="0"/>
        <outline val="0"/>
        <shadow val="0"/>
        <u val="none"/>
        <vertAlign val="baseline"/>
        <sz val="11"/>
        <color theme="1"/>
        <name val="Calibri"/>
        <family val="2"/>
        <scheme val="minor"/>
      </font>
      <numFmt numFmtId="164" formatCode="&quot;₹&quot;\ #,##0"/>
      <fill>
        <patternFill patternType="none">
          <fgColor indexed="64"/>
          <bgColor indexed="65"/>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8"/>
        <color theme="0"/>
        <name val="Calibri"/>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tables.xlsx]Pivote &amp; formulas!PivotTable20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&amp; formulas'!$H$176</c:f>
              <c:strCache>
                <c:ptCount val="1"/>
                <c:pt idx="0">
                  <c:v>Total</c:v>
                </c:pt>
              </c:strCache>
            </c:strRef>
          </c:tx>
          <c:spPr>
            <a:solidFill>
              <a:schemeClr val="accent1"/>
            </a:solidFill>
            <a:ln>
              <a:noFill/>
            </a:ln>
            <a:effectLst/>
          </c:spPr>
          <c:invertIfNegative val="0"/>
          <c:cat>
            <c:multiLvlStrRef>
              <c:f>'Pivote &amp; formulas'!$F$177:$G$195</c:f>
              <c:multiLvlStrCache>
                <c:ptCount val="14"/>
                <c:lvl>
                  <c:pt idx="0">
                    <c:v>Mobile</c:v>
                  </c:pt>
                  <c:pt idx="1">
                    <c:v>Mouse</c:v>
                  </c:pt>
                  <c:pt idx="2">
                    <c:v>Headphones</c:v>
                  </c:pt>
                  <c:pt idx="3">
                    <c:v>Keyboard</c:v>
                  </c:pt>
                  <c:pt idx="4">
                    <c:v>Laptop</c:v>
                  </c:pt>
                  <c:pt idx="5">
                    <c:v>Mouse</c:v>
                  </c:pt>
                  <c:pt idx="6">
                    <c:v>Headphones</c:v>
                  </c:pt>
                  <c:pt idx="7">
                    <c:v>Keyboard</c:v>
                  </c:pt>
                  <c:pt idx="8">
                    <c:v>Laptop</c:v>
                  </c:pt>
                  <c:pt idx="9">
                    <c:v>Mobile</c:v>
                  </c:pt>
                  <c:pt idx="10">
                    <c:v>Headphones</c:v>
                  </c:pt>
                  <c:pt idx="11">
                    <c:v>Keyboard</c:v>
                  </c:pt>
                  <c:pt idx="12">
                    <c:v>Laptop</c:v>
                  </c:pt>
                  <c:pt idx="13">
                    <c:v>Mouse</c:v>
                  </c:pt>
                </c:lvl>
                <c:lvl>
                  <c:pt idx="0">
                    <c:v>West</c:v>
                  </c:pt>
                  <c:pt idx="2">
                    <c:v>South</c:v>
                  </c:pt>
                  <c:pt idx="6">
                    <c:v>East</c:v>
                  </c:pt>
                  <c:pt idx="10">
                    <c:v>North</c:v>
                  </c:pt>
                </c:lvl>
              </c:multiLvlStrCache>
            </c:multiLvlStrRef>
          </c:cat>
          <c:val>
            <c:numRef>
              <c:f>'Pivote &amp; formulas'!$H$177:$H$195</c:f>
              <c:numCache>
                <c:formatCode>General</c:formatCode>
                <c:ptCount val="14"/>
                <c:pt idx="0">
                  <c:v>144000</c:v>
                </c:pt>
                <c:pt idx="1">
                  <c:v>6750</c:v>
                </c:pt>
                <c:pt idx="2">
                  <c:v>10500</c:v>
                </c:pt>
                <c:pt idx="3">
                  <c:v>4400</c:v>
                </c:pt>
                <c:pt idx="4">
                  <c:v>100000</c:v>
                </c:pt>
                <c:pt idx="5">
                  <c:v>8000</c:v>
                </c:pt>
                <c:pt idx="6">
                  <c:v>11200</c:v>
                </c:pt>
                <c:pt idx="7">
                  <c:v>6000</c:v>
                </c:pt>
                <c:pt idx="8">
                  <c:v>51000</c:v>
                </c:pt>
                <c:pt idx="9">
                  <c:v>36000</c:v>
                </c:pt>
                <c:pt idx="10">
                  <c:v>9600</c:v>
                </c:pt>
                <c:pt idx="11">
                  <c:v>3900</c:v>
                </c:pt>
                <c:pt idx="12">
                  <c:v>52000</c:v>
                </c:pt>
                <c:pt idx="13">
                  <c:v>5000</c:v>
                </c:pt>
              </c:numCache>
            </c:numRef>
          </c:val>
          <c:extLst>
            <c:ext xmlns:c16="http://schemas.microsoft.com/office/drawing/2014/chart" uri="{C3380CC4-5D6E-409C-BE32-E72D297353CC}">
              <c16:uniqueId val="{00000000-1D59-4CB4-A07E-F2A89B45DE6D}"/>
            </c:ext>
          </c:extLst>
        </c:ser>
        <c:dLbls>
          <c:showLegendKey val="0"/>
          <c:showVal val="0"/>
          <c:showCatName val="0"/>
          <c:showSerName val="0"/>
          <c:showPercent val="0"/>
          <c:showBubbleSize val="0"/>
        </c:dLbls>
        <c:gapWidth val="219"/>
        <c:overlap val="-27"/>
        <c:axId val="1142314159"/>
        <c:axId val="1356798495"/>
      </c:barChart>
      <c:catAx>
        <c:axId val="114231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798495"/>
        <c:crosses val="autoZero"/>
        <c:auto val="1"/>
        <c:lblAlgn val="ctr"/>
        <c:lblOffset val="100"/>
        <c:noMultiLvlLbl val="0"/>
      </c:catAx>
      <c:valAx>
        <c:axId val="135679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1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'Pivote &amp; formulas'!$H$336</c:f>
              <c:strCache>
                <c:ptCount val="1"/>
                <c:pt idx="0">
                  <c:v>Sales</c:v>
                </c:pt>
              </c:strCache>
            </c:strRef>
          </c:tx>
          <c:spPr>
            <a:solidFill>
              <a:schemeClr val="accent1"/>
            </a:solidFill>
            <a:ln>
              <a:noFill/>
            </a:ln>
            <a:effectLst/>
          </c:spPr>
          <c:invertIfNegative val="0"/>
          <c:cat>
            <c:strRef>
              <c:f>'Pivote &amp; formulas'!$G$337:$G$340</c:f>
              <c:strCache>
                <c:ptCount val="4"/>
                <c:pt idx="0">
                  <c:v>South</c:v>
                </c:pt>
                <c:pt idx="1">
                  <c:v>North</c:v>
                </c:pt>
                <c:pt idx="2">
                  <c:v>East</c:v>
                </c:pt>
                <c:pt idx="3">
                  <c:v>West</c:v>
                </c:pt>
              </c:strCache>
            </c:strRef>
          </c:cat>
          <c:val>
            <c:numRef>
              <c:f>'Pivote &amp; formulas'!$H$337:$H$340</c:f>
              <c:numCache>
                <c:formatCode>General</c:formatCode>
                <c:ptCount val="4"/>
                <c:pt idx="0">
                  <c:v>120000</c:v>
                </c:pt>
                <c:pt idx="1">
                  <c:v>70000</c:v>
                </c:pt>
                <c:pt idx="2">
                  <c:v>100000</c:v>
                </c:pt>
                <c:pt idx="3">
                  <c:v>150000</c:v>
                </c:pt>
              </c:numCache>
            </c:numRef>
          </c:val>
          <c:extLst>
            <c:ext xmlns:c16="http://schemas.microsoft.com/office/drawing/2014/chart" uri="{C3380CC4-5D6E-409C-BE32-E72D297353CC}">
              <c16:uniqueId val="{00000000-6908-46BE-9407-0039D2E3AE55}"/>
            </c:ext>
          </c:extLst>
        </c:ser>
        <c:dLbls>
          <c:showLegendKey val="0"/>
          <c:showVal val="0"/>
          <c:showCatName val="0"/>
          <c:showSerName val="0"/>
          <c:showPercent val="0"/>
          <c:showBubbleSize val="0"/>
        </c:dLbls>
        <c:gapWidth val="219"/>
        <c:overlap val="-27"/>
        <c:axId val="1949943791"/>
        <c:axId val="1949948591"/>
      </c:barChart>
      <c:catAx>
        <c:axId val="194994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48591"/>
        <c:crosses val="autoZero"/>
        <c:auto val="1"/>
        <c:lblAlgn val="ctr"/>
        <c:lblOffset val="100"/>
        <c:noMultiLvlLbl val="0"/>
      </c:catAx>
      <c:valAx>
        <c:axId val="194994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4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'Pivote &amp; formulas'!$H$346</c:f>
              <c:strCache>
                <c:ptCount val="1"/>
                <c:pt idx="0">
                  <c:v>Units Sold</c:v>
                </c:pt>
              </c:strCache>
            </c:strRef>
          </c:tx>
          <c:spPr>
            <a:solidFill>
              <a:schemeClr val="accent1"/>
            </a:solidFill>
            <a:ln>
              <a:noFill/>
            </a:ln>
            <a:effectLst/>
          </c:spPr>
          <c:invertIfNegative val="0"/>
          <c:cat>
            <c:strRef>
              <c:f>'Pivote &amp; formulas'!$G$347:$G$351</c:f>
              <c:strCache>
                <c:ptCount val="5"/>
                <c:pt idx="0">
                  <c:v>Laptop</c:v>
                </c:pt>
                <c:pt idx="1">
                  <c:v>Mobile</c:v>
                </c:pt>
                <c:pt idx="2">
                  <c:v>Keyboard</c:v>
                </c:pt>
                <c:pt idx="3">
                  <c:v>Headphones</c:v>
                </c:pt>
                <c:pt idx="4">
                  <c:v>Mouse</c:v>
                </c:pt>
              </c:strCache>
            </c:strRef>
          </c:cat>
          <c:val>
            <c:numRef>
              <c:f>'Pivote &amp; formulas'!$H$347:$H$351</c:f>
              <c:numCache>
                <c:formatCode>General</c:formatCode>
                <c:ptCount val="5"/>
                <c:pt idx="0">
                  <c:v>20</c:v>
                </c:pt>
                <c:pt idx="1">
                  <c:v>35</c:v>
                </c:pt>
                <c:pt idx="2">
                  <c:v>15</c:v>
                </c:pt>
                <c:pt idx="3">
                  <c:v>10</c:v>
                </c:pt>
                <c:pt idx="4">
                  <c:v>25</c:v>
                </c:pt>
              </c:numCache>
            </c:numRef>
          </c:val>
          <c:extLst>
            <c:ext xmlns:c16="http://schemas.microsoft.com/office/drawing/2014/chart" uri="{C3380CC4-5D6E-409C-BE32-E72D297353CC}">
              <c16:uniqueId val="{00000000-CBFD-4EBC-8950-B89340D45264}"/>
            </c:ext>
          </c:extLst>
        </c:ser>
        <c:ser>
          <c:idx val="1"/>
          <c:order val="1"/>
          <c:tx>
            <c:strRef>
              <c:f>'Pivote &amp; formulas'!$I$346</c:f>
              <c:strCache>
                <c:ptCount val="1"/>
                <c:pt idx="0">
                  <c:v>* labels don’t fit properly</c:v>
                </c:pt>
              </c:strCache>
            </c:strRef>
          </c:tx>
          <c:spPr>
            <a:solidFill>
              <a:schemeClr val="accent2"/>
            </a:solidFill>
            <a:ln>
              <a:noFill/>
            </a:ln>
            <a:effectLst/>
          </c:spPr>
          <c:invertIfNegative val="0"/>
          <c:cat>
            <c:strRef>
              <c:f>'Pivote &amp; formulas'!$G$347:$G$351</c:f>
              <c:strCache>
                <c:ptCount val="5"/>
                <c:pt idx="0">
                  <c:v>Laptop</c:v>
                </c:pt>
                <c:pt idx="1">
                  <c:v>Mobile</c:v>
                </c:pt>
                <c:pt idx="2">
                  <c:v>Keyboard</c:v>
                </c:pt>
                <c:pt idx="3">
                  <c:v>Headphones</c:v>
                </c:pt>
                <c:pt idx="4">
                  <c:v>Mouse</c:v>
                </c:pt>
              </c:strCache>
            </c:strRef>
          </c:cat>
          <c:val>
            <c:numRef>
              <c:f>'Pivote &amp; formulas'!$I$347:$I$351</c:f>
              <c:numCache>
                <c:formatCode>General</c:formatCode>
                <c:ptCount val="5"/>
              </c:numCache>
            </c:numRef>
          </c:val>
          <c:extLst>
            <c:ext xmlns:c16="http://schemas.microsoft.com/office/drawing/2014/chart" uri="{C3380CC4-5D6E-409C-BE32-E72D297353CC}">
              <c16:uniqueId val="{00000003-CBFD-4EBC-8950-B89340D45264}"/>
            </c:ext>
          </c:extLst>
        </c:ser>
        <c:dLbls>
          <c:showLegendKey val="0"/>
          <c:showVal val="0"/>
          <c:showCatName val="0"/>
          <c:showSerName val="0"/>
          <c:showPercent val="0"/>
          <c:showBubbleSize val="0"/>
        </c:dLbls>
        <c:gapWidth val="182"/>
        <c:axId val="1949957231"/>
        <c:axId val="1949953871"/>
      </c:barChart>
      <c:catAx>
        <c:axId val="194995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53871"/>
        <c:crosses val="autoZero"/>
        <c:auto val="1"/>
        <c:lblAlgn val="ctr"/>
        <c:lblOffset val="100"/>
        <c:noMultiLvlLbl val="0"/>
      </c:catAx>
      <c:valAx>
        <c:axId val="194995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5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'Pivote &amp; formulas'!$H$368</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D8-4C39-B9D7-45C071AFB1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D8-4C39-B9D7-45C071AFB1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D8-4C39-B9D7-45C071AFB1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D8-4C39-B9D7-45C071AFB10E}"/>
              </c:ext>
            </c:extLst>
          </c:dPt>
          <c:cat>
            <c:strRef>
              <c:f>'Pivote &amp; formulas'!$G$369:$G$372</c:f>
              <c:strCache>
                <c:ptCount val="4"/>
                <c:pt idx="0">
                  <c:v>Electronics</c:v>
                </c:pt>
                <c:pt idx="1">
                  <c:v>Accessories</c:v>
                </c:pt>
                <c:pt idx="2">
                  <c:v>Furniture</c:v>
                </c:pt>
                <c:pt idx="3">
                  <c:v>Clothing</c:v>
                </c:pt>
              </c:strCache>
            </c:strRef>
          </c:cat>
          <c:val>
            <c:numRef>
              <c:f>'Pivote &amp; formulas'!$H$369:$H$372</c:f>
              <c:numCache>
                <c:formatCode>General</c:formatCode>
                <c:ptCount val="4"/>
                <c:pt idx="0">
                  <c:v>50000</c:v>
                </c:pt>
                <c:pt idx="1">
                  <c:v>20000</c:v>
                </c:pt>
                <c:pt idx="2">
                  <c:v>30000</c:v>
                </c:pt>
                <c:pt idx="3">
                  <c:v>10000</c:v>
                </c:pt>
              </c:numCache>
            </c:numRef>
          </c:val>
          <c:extLst>
            <c:ext xmlns:c16="http://schemas.microsoft.com/office/drawing/2014/chart" uri="{C3380CC4-5D6E-409C-BE32-E72D297353CC}">
              <c16:uniqueId val="{00000000-1067-42FE-BD4A-DB3AD1F8548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'Pivote &amp; formulas'!$H$383</c:f>
              <c:strCache>
                <c:ptCount val="1"/>
                <c:pt idx="0">
                  <c:v>Sales</c:v>
                </c:pt>
              </c:strCache>
            </c:strRef>
          </c:tx>
          <c:spPr>
            <a:ln w="28575" cap="rnd">
              <a:solidFill>
                <a:schemeClr val="accent1"/>
              </a:solidFill>
              <a:round/>
            </a:ln>
            <a:effectLst/>
          </c:spPr>
          <c:marker>
            <c:symbol val="none"/>
          </c:marker>
          <c:cat>
            <c:strRef>
              <c:f>'Pivote &amp; formulas'!$G$384:$G$389</c:f>
              <c:strCache>
                <c:ptCount val="6"/>
                <c:pt idx="0">
                  <c:v>Jan</c:v>
                </c:pt>
                <c:pt idx="1">
                  <c:v>Feb</c:v>
                </c:pt>
                <c:pt idx="2">
                  <c:v>Mar</c:v>
                </c:pt>
                <c:pt idx="3">
                  <c:v>Apr</c:v>
                </c:pt>
                <c:pt idx="4">
                  <c:v>May</c:v>
                </c:pt>
                <c:pt idx="5">
                  <c:v>Jun</c:v>
                </c:pt>
              </c:strCache>
            </c:strRef>
          </c:cat>
          <c:val>
            <c:numRef>
              <c:f>'Pivote &amp; formulas'!$H$384:$H$389</c:f>
              <c:numCache>
                <c:formatCode>General</c:formatCode>
                <c:ptCount val="6"/>
                <c:pt idx="0">
                  <c:v>20000</c:v>
                </c:pt>
                <c:pt idx="1">
                  <c:v>25000</c:v>
                </c:pt>
                <c:pt idx="2">
                  <c:v>22000</c:v>
                </c:pt>
                <c:pt idx="3">
                  <c:v>30000</c:v>
                </c:pt>
                <c:pt idx="4">
                  <c:v>35000</c:v>
                </c:pt>
                <c:pt idx="5">
                  <c:v>40000</c:v>
                </c:pt>
              </c:numCache>
            </c:numRef>
          </c:val>
          <c:smooth val="0"/>
          <c:extLst>
            <c:ext xmlns:c16="http://schemas.microsoft.com/office/drawing/2014/chart" uri="{C3380CC4-5D6E-409C-BE32-E72D297353CC}">
              <c16:uniqueId val="{00000000-4B7A-4483-8920-444EF183AF62}"/>
            </c:ext>
          </c:extLst>
        </c:ser>
        <c:dLbls>
          <c:showLegendKey val="0"/>
          <c:showVal val="0"/>
          <c:showCatName val="0"/>
          <c:showSerName val="0"/>
          <c:showPercent val="0"/>
          <c:showBubbleSize val="0"/>
        </c:dLbls>
        <c:smooth val="0"/>
        <c:axId val="1949964431"/>
        <c:axId val="1949962511"/>
      </c:lineChart>
      <c:catAx>
        <c:axId val="194996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62511"/>
        <c:crosses val="autoZero"/>
        <c:auto val="1"/>
        <c:lblAlgn val="ctr"/>
        <c:lblOffset val="100"/>
        <c:noMultiLvlLbl val="0"/>
      </c:catAx>
      <c:valAx>
        <c:axId val="194996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6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'Pivote &amp; formulas'!$E$395</c:f>
              <c:strCache>
                <c:ptCount val="1"/>
                <c:pt idx="0">
                  <c:v>Sales</c:v>
                </c:pt>
              </c:strCache>
            </c:strRef>
          </c:tx>
          <c:spPr>
            <a:solidFill>
              <a:schemeClr val="accent1"/>
            </a:solidFill>
            <a:ln>
              <a:noFill/>
            </a:ln>
            <a:effectLst/>
          </c:spPr>
          <c:invertIfNegative val="0"/>
          <c:cat>
            <c:strRef>
              <c:f>'Pivote &amp; formulas'!$D$396:$D$401</c:f>
              <c:strCache>
                <c:ptCount val="6"/>
                <c:pt idx="0">
                  <c:v>Jan</c:v>
                </c:pt>
                <c:pt idx="1">
                  <c:v>Feb</c:v>
                </c:pt>
                <c:pt idx="2">
                  <c:v>Mar</c:v>
                </c:pt>
                <c:pt idx="3">
                  <c:v>Apr</c:v>
                </c:pt>
                <c:pt idx="4">
                  <c:v>May</c:v>
                </c:pt>
                <c:pt idx="5">
                  <c:v>Jun</c:v>
                </c:pt>
              </c:strCache>
            </c:strRef>
          </c:cat>
          <c:val>
            <c:numRef>
              <c:f>'Pivote &amp; formulas'!$E$396:$E$401</c:f>
              <c:numCache>
                <c:formatCode>General</c:formatCode>
                <c:ptCount val="6"/>
                <c:pt idx="0">
                  <c:v>20000</c:v>
                </c:pt>
                <c:pt idx="1">
                  <c:v>25000</c:v>
                </c:pt>
                <c:pt idx="2">
                  <c:v>22000</c:v>
                </c:pt>
                <c:pt idx="3">
                  <c:v>30000</c:v>
                </c:pt>
                <c:pt idx="4">
                  <c:v>35000</c:v>
                </c:pt>
                <c:pt idx="5">
                  <c:v>40000</c:v>
                </c:pt>
              </c:numCache>
            </c:numRef>
          </c:val>
          <c:extLst>
            <c:ext xmlns:c16="http://schemas.microsoft.com/office/drawing/2014/chart" uri="{C3380CC4-5D6E-409C-BE32-E72D297353CC}">
              <c16:uniqueId val="{00000000-B51E-469B-B5AA-D7F3D9C438CE}"/>
            </c:ext>
          </c:extLst>
        </c:ser>
        <c:dLbls>
          <c:showLegendKey val="0"/>
          <c:showVal val="0"/>
          <c:showCatName val="0"/>
          <c:showSerName val="0"/>
          <c:showPercent val="0"/>
          <c:showBubbleSize val="0"/>
        </c:dLbls>
        <c:gapWidth val="150"/>
        <c:axId val="1949936591"/>
        <c:axId val="1949954831"/>
      </c:barChart>
      <c:lineChart>
        <c:grouping val="standard"/>
        <c:varyColors val="0"/>
        <c:ser>
          <c:idx val="1"/>
          <c:order val="1"/>
          <c:tx>
            <c:strRef>
              <c:f>'Pivote &amp; formulas'!$F$395</c:f>
              <c:strCache>
                <c:ptCount val="1"/>
                <c:pt idx="0">
                  <c:v>Profit</c:v>
                </c:pt>
              </c:strCache>
            </c:strRef>
          </c:tx>
          <c:spPr>
            <a:ln w="28575" cap="rnd">
              <a:solidFill>
                <a:schemeClr val="accent2"/>
              </a:solidFill>
              <a:round/>
            </a:ln>
            <a:effectLst/>
          </c:spPr>
          <c:marker>
            <c:symbol val="none"/>
          </c:marker>
          <c:cat>
            <c:strRef>
              <c:f>'Pivote &amp; formulas'!$D$396:$D$401</c:f>
              <c:strCache>
                <c:ptCount val="6"/>
                <c:pt idx="0">
                  <c:v>Jan</c:v>
                </c:pt>
                <c:pt idx="1">
                  <c:v>Feb</c:v>
                </c:pt>
                <c:pt idx="2">
                  <c:v>Mar</c:v>
                </c:pt>
                <c:pt idx="3">
                  <c:v>Apr</c:v>
                </c:pt>
                <c:pt idx="4">
                  <c:v>May</c:v>
                </c:pt>
                <c:pt idx="5">
                  <c:v>Jun</c:v>
                </c:pt>
              </c:strCache>
            </c:strRef>
          </c:cat>
          <c:val>
            <c:numRef>
              <c:f>'Pivote &amp; formulas'!$F$396:$F$401</c:f>
              <c:numCache>
                <c:formatCode>General</c:formatCode>
                <c:ptCount val="6"/>
                <c:pt idx="0">
                  <c:v>2000</c:v>
                </c:pt>
                <c:pt idx="1">
                  <c:v>2500</c:v>
                </c:pt>
                <c:pt idx="2">
                  <c:v>1800</c:v>
                </c:pt>
                <c:pt idx="3">
                  <c:v>3500</c:v>
                </c:pt>
                <c:pt idx="4">
                  <c:v>4000</c:v>
                </c:pt>
                <c:pt idx="5">
                  <c:v>5000</c:v>
                </c:pt>
              </c:numCache>
            </c:numRef>
          </c:val>
          <c:smooth val="0"/>
          <c:extLst>
            <c:ext xmlns:c16="http://schemas.microsoft.com/office/drawing/2014/chart" uri="{C3380CC4-5D6E-409C-BE32-E72D297353CC}">
              <c16:uniqueId val="{00000001-B51E-469B-B5AA-D7F3D9C438CE}"/>
            </c:ext>
          </c:extLst>
        </c:ser>
        <c:dLbls>
          <c:showLegendKey val="0"/>
          <c:showVal val="0"/>
          <c:showCatName val="0"/>
          <c:showSerName val="0"/>
          <c:showPercent val="0"/>
          <c:showBubbleSize val="0"/>
        </c:dLbls>
        <c:marker val="1"/>
        <c:smooth val="0"/>
        <c:axId val="1949936591"/>
        <c:axId val="1949954831"/>
      </c:lineChart>
      <c:catAx>
        <c:axId val="194993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54831"/>
        <c:crosses val="autoZero"/>
        <c:auto val="1"/>
        <c:lblAlgn val="ctr"/>
        <c:lblOffset val="100"/>
        <c:noMultiLvlLbl val="0"/>
      </c:catAx>
      <c:valAx>
        <c:axId val="194995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3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tables.xlsx]dashboard!PivotTable1</c:name>
    <c:fmtId val="1"/>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Sales</a:t>
            </a:r>
            <a:r>
              <a:rPr lang="en-US" sz="1600" baseline="0">
                <a:solidFill>
                  <a:schemeClr val="tx1"/>
                </a:solidFill>
              </a:rPr>
              <a:t> Chart</a:t>
            </a:r>
          </a:p>
        </c:rich>
      </c:tx>
      <c:layout>
        <c:manualLayout>
          <c:xMode val="edge"/>
          <c:yMode val="edge"/>
          <c:x val="0.3515139875808207"/>
          <c:y val="9.426241074704372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03712950515334"/>
          <c:y val="0.327595744080377"/>
          <c:w val="0.70278119198514832"/>
          <c:h val="0.46345685283963156"/>
        </c:manualLayout>
      </c:layout>
      <c:barChart>
        <c:barDir val="col"/>
        <c:grouping val="clustered"/>
        <c:varyColors val="0"/>
        <c:ser>
          <c:idx val="0"/>
          <c:order val="0"/>
          <c:tx>
            <c:strRef>
              <c:f>dashboard!$B$12</c:f>
              <c:strCache>
                <c:ptCount val="1"/>
                <c:pt idx="0">
                  <c:v>Total</c:v>
                </c:pt>
              </c:strCache>
            </c:strRef>
          </c:tx>
          <c:spPr>
            <a:solidFill>
              <a:schemeClr val="accent1"/>
            </a:solidFill>
            <a:ln>
              <a:noFill/>
            </a:ln>
            <a:effectLst/>
          </c:spPr>
          <c:invertIfNegative val="0"/>
          <c:cat>
            <c:strRef>
              <c:f>dashboard!$A$13:$A$14</c:f>
              <c:strCache>
                <c:ptCount val="1"/>
                <c:pt idx="0">
                  <c:v>South</c:v>
                </c:pt>
              </c:strCache>
            </c:strRef>
          </c:cat>
          <c:val>
            <c:numRef>
              <c:f>dashboard!$B$13:$B$14</c:f>
              <c:numCache>
                <c:formatCode>General</c:formatCode>
                <c:ptCount val="1"/>
                <c:pt idx="0">
                  <c:v>120000</c:v>
                </c:pt>
              </c:numCache>
            </c:numRef>
          </c:val>
          <c:extLst>
            <c:ext xmlns:c16="http://schemas.microsoft.com/office/drawing/2014/chart" uri="{C3380CC4-5D6E-409C-BE32-E72D297353CC}">
              <c16:uniqueId val="{00000000-CA1D-43A6-94A2-4871842BD2D6}"/>
            </c:ext>
          </c:extLst>
        </c:ser>
        <c:dLbls>
          <c:showLegendKey val="0"/>
          <c:showVal val="0"/>
          <c:showCatName val="0"/>
          <c:showSerName val="0"/>
          <c:showPercent val="0"/>
          <c:showBubbleSize val="0"/>
        </c:dLbls>
        <c:gapWidth val="219"/>
        <c:overlap val="-27"/>
        <c:axId val="1741511695"/>
        <c:axId val="1741516975"/>
      </c:barChart>
      <c:catAx>
        <c:axId val="174151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516975"/>
        <c:crosses val="autoZero"/>
        <c:auto val="1"/>
        <c:lblAlgn val="ctr"/>
        <c:lblOffset val="100"/>
        <c:noMultiLvlLbl val="0"/>
      </c:catAx>
      <c:valAx>
        <c:axId val="174151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51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tables.xlsx]dashboard!PivotTable2</c:name>
    <c:fmtId val="1"/>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Profict-Chart</a:t>
            </a:r>
          </a:p>
        </c:rich>
      </c:tx>
      <c:layout>
        <c:manualLayout>
          <c:xMode val="edge"/>
          <c:yMode val="edge"/>
          <c:x val="0.34658243150640655"/>
          <c:y val="0.12850666393973481"/>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dashboard!$B$26</c:f>
              <c:strCache>
                <c:ptCount val="1"/>
                <c:pt idx="0">
                  <c:v>Total</c:v>
                </c:pt>
              </c:strCache>
            </c:strRef>
          </c:tx>
          <c:spPr>
            <a:solidFill>
              <a:schemeClr val="accent1"/>
            </a:solidFill>
            <a:ln w="19050">
              <a:solidFill>
                <a:schemeClr val="lt1"/>
              </a:solidFill>
            </a:ln>
            <a:effectLst/>
          </c:spPr>
          <c:invertIfNegative val="0"/>
          <c:cat>
            <c:strRef>
              <c:f>dashboard!$A$27:$A$28</c:f>
              <c:strCache>
                <c:ptCount val="1"/>
                <c:pt idx="0">
                  <c:v>South</c:v>
                </c:pt>
              </c:strCache>
            </c:strRef>
          </c:cat>
          <c:val>
            <c:numRef>
              <c:f>dashboard!$B$27:$B$28</c:f>
              <c:numCache>
                <c:formatCode>General</c:formatCode>
                <c:ptCount val="1"/>
                <c:pt idx="0">
                  <c:v>12000</c:v>
                </c:pt>
              </c:numCache>
            </c:numRef>
          </c:val>
          <c:extLst>
            <c:ext xmlns:c16="http://schemas.microsoft.com/office/drawing/2014/chart" uri="{C3380CC4-5D6E-409C-BE32-E72D297353CC}">
              <c16:uniqueId val="{00000000-2C93-4CD5-85DD-B5155566109B}"/>
            </c:ext>
          </c:extLst>
        </c:ser>
        <c:dLbls>
          <c:showLegendKey val="0"/>
          <c:showVal val="0"/>
          <c:showCatName val="0"/>
          <c:showSerName val="0"/>
          <c:showPercent val="0"/>
          <c:showBubbleSize val="0"/>
        </c:dLbls>
        <c:gapWidth val="150"/>
        <c:axId val="1741527535"/>
        <c:axId val="1741530415"/>
      </c:barChart>
      <c:valAx>
        <c:axId val="1741530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527535"/>
        <c:crossBetween val="between"/>
      </c:valAx>
      <c:catAx>
        <c:axId val="17415275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53041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tables.xlsx]Dash-2!PivotTable3</c:name>
    <c:fmtId val="6"/>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Product</a:t>
            </a:r>
            <a:r>
              <a:rPr lang="en-US" sz="2400" baseline="0"/>
              <a:t> &amp; Region Wise Sales</a:t>
            </a:r>
            <a:endParaRPr lang="en-US" sz="2400"/>
          </a:p>
        </c:rich>
      </c:tx>
      <c:layout>
        <c:manualLayout>
          <c:xMode val="edge"/>
          <c:yMode val="edge"/>
          <c:x val="0.20519209555327322"/>
          <c:y val="5.1499329751163087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96158088934534"/>
          <c:y val="0.24947985310849019"/>
          <c:w val="0.74347635893339414"/>
          <c:h val="0.42151076340779292"/>
        </c:manualLayout>
      </c:layout>
      <c:bar3DChart>
        <c:barDir val="col"/>
        <c:grouping val="clustered"/>
        <c:varyColors val="0"/>
        <c:ser>
          <c:idx val="0"/>
          <c:order val="0"/>
          <c:tx>
            <c:strRef>
              <c:f>'Dash-2'!$B$12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'Dash-2'!$A$13:$A$29</c:f>
              <c:multiLvlStrCache>
                <c:ptCount val="12"/>
                <c:lvl>
                  <c:pt idx="0">
                    <c:v>Laptop</c:v>
                  </c:pt>
                  <c:pt idx="1">
                    <c:v>Mobile</c:v>
                  </c:pt>
                  <c:pt idx="2">
                    <c:v>Mouse</c:v>
                  </c:pt>
                  <c:pt idx="3">
                    <c:v>Headphones</c:v>
                  </c:pt>
                  <c:pt idx="4">
                    <c:v>Laptop</c:v>
                  </c:pt>
                  <c:pt idx="5">
                    <c:v>Mobile</c:v>
                  </c:pt>
                  <c:pt idx="6">
                    <c:v>Headphones</c:v>
                  </c:pt>
                  <c:pt idx="7">
                    <c:v>Keyboard</c:v>
                  </c:pt>
                  <c:pt idx="8">
                    <c:v>Laptop</c:v>
                  </c:pt>
                  <c:pt idx="9">
                    <c:v>Keyboard</c:v>
                  </c:pt>
                  <c:pt idx="10">
                    <c:v>Mobile</c:v>
                  </c:pt>
                  <c:pt idx="11">
                    <c:v>Mouse</c:v>
                  </c:pt>
                </c:lvl>
                <c:lvl>
                  <c:pt idx="0">
                    <c:v>South</c:v>
                  </c:pt>
                  <c:pt idx="3">
                    <c:v>North</c:v>
                  </c:pt>
                  <c:pt idx="6">
                    <c:v>East</c:v>
                  </c:pt>
                  <c:pt idx="9">
                    <c:v>West</c:v>
                  </c:pt>
                </c:lvl>
              </c:multiLvlStrCache>
            </c:multiLvlStrRef>
          </c:cat>
          <c:val>
            <c:numRef>
              <c:f>'Dash-2'!$B$13:$B$29</c:f>
              <c:numCache>
                <c:formatCode>"₹"\ #,##0</c:formatCode>
                <c:ptCount val="12"/>
                <c:pt idx="0">
                  <c:v>250000</c:v>
                </c:pt>
                <c:pt idx="1">
                  <c:v>120000</c:v>
                </c:pt>
                <c:pt idx="2">
                  <c:v>12500</c:v>
                </c:pt>
                <c:pt idx="3">
                  <c:v>30000</c:v>
                </c:pt>
                <c:pt idx="4">
                  <c:v>200000</c:v>
                </c:pt>
                <c:pt idx="5">
                  <c:v>150000</c:v>
                </c:pt>
                <c:pt idx="6">
                  <c:v>36000</c:v>
                </c:pt>
                <c:pt idx="7">
                  <c:v>24000</c:v>
                </c:pt>
                <c:pt idx="8">
                  <c:v>300000</c:v>
                </c:pt>
                <c:pt idx="9">
                  <c:v>18000</c:v>
                </c:pt>
                <c:pt idx="10">
                  <c:v>135000</c:v>
                </c:pt>
                <c:pt idx="11">
                  <c:v>15000</c:v>
                </c:pt>
              </c:numCache>
            </c:numRef>
          </c:val>
          <c:extLst>
            <c:ext xmlns:c16="http://schemas.microsoft.com/office/drawing/2014/chart" uri="{C3380CC4-5D6E-409C-BE32-E72D297353CC}">
              <c16:uniqueId val="{00000000-C74E-46E7-91E6-692663D21671}"/>
            </c:ext>
          </c:extLst>
        </c:ser>
        <c:dLbls>
          <c:showLegendKey val="0"/>
          <c:showVal val="1"/>
          <c:showCatName val="0"/>
          <c:showSerName val="0"/>
          <c:showPercent val="0"/>
          <c:showBubbleSize val="0"/>
        </c:dLbls>
        <c:gapWidth val="65"/>
        <c:shape val="box"/>
        <c:axId val="168646863"/>
        <c:axId val="168647343"/>
        <c:axId val="0"/>
      </c:bar3DChart>
      <c:catAx>
        <c:axId val="1686468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647343"/>
        <c:crosses val="autoZero"/>
        <c:auto val="1"/>
        <c:lblAlgn val="ctr"/>
        <c:lblOffset val="100"/>
        <c:noMultiLvlLbl val="0"/>
      </c:catAx>
      <c:valAx>
        <c:axId val="168647343"/>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6468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tables.xlsx]Dash-2!PivotTable4</c:name>
    <c:fmtId val="11"/>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Products</a:t>
            </a:r>
            <a:r>
              <a:rPr lang="en-US" sz="2400" baseline="0"/>
              <a:t> &amp; There Units</a:t>
            </a:r>
            <a:endParaRPr lang="en-US" sz="2400"/>
          </a:p>
        </c:rich>
      </c:tx>
      <c:layout>
        <c:manualLayout>
          <c:xMode val="edge"/>
          <c:yMode val="edge"/>
          <c:x val="0.24968707575346186"/>
          <c:y val="0.11827138651465369"/>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07344444700437"/>
          <c:y val="0.30692680403597938"/>
          <c:w val="0.60904846307055382"/>
          <c:h val="0.62078412073490818"/>
        </c:manualLayout>
      </c:layout>
      <c:barChart>
        <c:barDir val="bar"/>
        <c:grouping val="clustered"/>
        <c:varyColors val="0"/>
        <c:ser>
          <c:idx val="0"/>
          <c:order val="0"/>
          <c:tx>
            <c:strRef>
              <c:f>'Dash-2'!$B$35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'Dash-2'!$A$36:$A$41</c:f>
              <c:strCache>
                <c:ptCount val="5"/>
                <c:pt idx="0">
                  <c:v>Mouse</c:v>
                </c:pt>
                <c:pt idx="1">
                  <c:v>Keyboard</c:v>
                </c:pt>
                <c:pt idx="2">
                  <c:v>Mobile</c:v>
                </c:pt>
                <c:pt idx="3">
                  <c:v>Headphones</c:v>
                </c:pt>
                <c:pt idx="4">
                  <c:v>Laptop</c:v>
                </c:pt>
              </c:strCache>
            </c:strRef>
          </c:cat>
          <c:val>
            <c:numRef>
              <c:f>'Dash-2'!$B$36:$B$41</c:f>
              <c:numCache>
                <c:formatCode>General</c:formatCode>
                <c:ptCount val="5"/>
                <c:pt idx="0">
                  <c:v>55</c:v>
                </c:pt>
                <c:pt idx="1">
                  <c:v>35</c:v>
                </c:pt>
                <c:pt idx="2">
                  <c:v>27</c:v>
                </c:pt>
                <c:pt idx="3">
                  <c:v>22</c:v>
                </c:pt>
                <c:pt idx="4">
                  <c:v>15</c:v>
                </c:pt>
              </c:numCache>
            </c:numRef>
          </c:val>
          <c:extLst>
            <c:ext xmlns:c16="http://schemas.microsoft.com/office/drawing/2014/chart" uri="{C3380CC4-5D6E-409C-BE32-E72D297353CC}">
              <c16:uniqueId val="{00000000-B4BF-4F72-9AEF-68E5387E9126}"/>
            </c:ext>
          </c:extLst>
        </c:ser>
        <c:dLbls>
          <c:dLblPos val="inEnd"/>
          <c:showLegendKey val="0"/>
          <c:showVal val="1"/>
          <c:showCatName val="0"/>
          <c:showSerName val="0"/>
          <c:showPercent val="0"/>
          <c:showBubbleSize val="0"/>
        </c:dLbls>
        <c:gapWidth val="65"/>
        <c:axId val="2003298623"/>
        <c:axId val="2003299583"/>
      </c:barChart>
      <c:catAx>
        <c:axId val="20032986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3299583"/>
        <c:crosses val="autoZero"/>
        <c:auto val="1"/>
        <c:lblAlgn val="ctr"/>
        <c:lblOffset val="100"/>
        <c:noMultiLvlLbl val="0"/>
      </c:catAx>
      <c:valAx>
        <c:axId val="2003299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329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tables.xlsx]Dash-2!PivotTable5</c:name>
    <c:fmtId val="29"/>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Month &amp; There Profit</a:t>
            </a:r>
          </a:p>
        </c:rich>
      </c:tx>
      <c:layout>
        <c:manualLayout>
          <c:xMode val="edge"/>
          <c:yMode val="edge"/>
          <c:x val="0.3114353078113351"/>
          <c:y val="1.2226662228584553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9007799375021"/>
          <c:y val="0.18857565619595634"/>
          <c:w val="0.74805406841377931"/>
          <c:h val="0.64876540152462681"/>
        </c:manualLayout>
      </c:layout>
      <c:lineChart>
        <c:grouping val="standard"/>
        <c:varyColors val="0"/>
        <c:ser>
          <c:idx val="0"/>
          <c:order val="0"/>
          <c:tx>
            <c:strRef>
              <c:f>'Dash-2'!$B$51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'Dash-2'!$A$52:$A$58</c:f>
              <c:strCache>
                <c:ptCount val="6"/>
                <c:pt idx="0">
                  <c:v>Jan</c:v>
                </c:pt>
                <c:pt idx="1">
                  <c:v>Feb</c:v>
                </c:pt>
                <c:pt idx="2">
                  <c:v>Mar</c:v>
                </c:pt>
                <c:pt idx="3">
                  <c:v>Apr</c:v>
                </c:pt>
                <c:pt idx="4">
                  <c:v>May</c:v>
                </c:pt>
                <c:pt idx="5">
                  <c:v>Jun</c:v>
                </c:pt>
              </c:strCache>
            </c:strRef>
          </c:cat>
          <c:val>
            <c:numRef>
              <c:f>'Dash-2'!$B$52:$B$58</c:f>
              <c:numCache>
                <c:formatCode>"₹"\ #,##0</c:formatCode>
                <c:ptCount val="6"/>
                <c:pt idx="0">
                  <c:v>50000</c:v>
                </c:pt>
                <c:pt idx="1">
                  <c:v>9000</c:v>
                </c:pt>
                <c:pt idx="2">
                  <c:v>43000</c:v>
                </c:pt>
                <c:pt idx="3">
                  <c:v>10500</c:v>
                </c:pt>
                <c:pt idx="4">
                  <c:v>9000</c:v>
                </c:pt>
                <c:pt idx="5">
                  <c:v>57000</c:v>
                </c:pt>
              </c:numCache>
            </c:numRef>
          </c:val>
          <c:smooth val="0"/>
          <c:extLst>
            <c:ext xmlns:c16="http://schemas.microsoft.com/office/drawing/2014/chart" uri="{C3380CC4-5D6E-409C-BE32-E72D297353CC}">
              <c16:uniqueId val="{00000002-02E2-4215-A64B-633BBE23ED29}"/>
            </c:ext>
          </c:extLst>
        </c:ser>
        <c:dLbls>
          <c:dLblPos val="ctr"/>
          <c:showLegendKey val="0"/>
          <c:showVal val="1"/>
          <c:showCatName val="0"/>
          <c:showSerName val="0"/>
          <c:showPercent val="0"/>
          <c:showBubbleSize val="0"/>
        </c:dLbls>
        <c:marker val="1"/>
        <c:smooth val="0"/>
        <c:axId val="176698943"/>
        <c:axId val="176699423"/>
      </c:lineChart>
      <c:catAx>
        <c:axId val="1766989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699423"/>
        <c:crosses val="autoZero"/>
        <c:auto val="1"/>
        <c:lblAlgn val="ctr"/>
        <c:lblOffset val="100"/>
        <c:noMultiLvlLbl val="0"/>
      </c:catAx>
      <c:valAx>
        <c:axId val="1766994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crossAx val="17669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tables.xlsx]Dash-2!PivotTable3</c:name>
    <c:fmtId val="10"/>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Product</a:t>
            </a:r>
            <a:r>
              <a:rPr lang="en-US" sz="2400" baseline="0"/>
              <a:t> &amp; Region Wise Sales</a:t>
            </a:r>
            <a:endParaRPr lang="en-US" sz="2400"/>
          </a:p>
        </c:rich>
      </c:tx>
      <c:layout>
        <c:manualLayout>
          <c:xMode val="edge"/>
          <c:yMode val="edge"/>
          <c:x val="0.20519209555327322"/>
          <c:y val="5.1499329751163087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8845449238578"/>
          <c:y val="0.18206405379102897"/>
          <c:w val="0.77904949312185456"/>
          <c:h val="0.68594371627401007"/>
        </c:manualLayout>
      </c:layout>
      <c:barChart>
        <c:barDir val="bar"/>
        <c:grouping val="clustered"/>
        <c:varyColors val="0"/>
        <c:ser>
          <c:idx val="0"/>
          <c:order val="0"/>
          <c:tx>
            <c:strRef>
              <c:f>'Dash-2'!$B$12</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'Dash-2'!$A$13:$A$29</c:f>
              <c:multiLvlStrCache>
                <c:ptCount val="12"/>
                <c:lvl>
                  <c:pt idx="0">
                    <c:v>Laptop</c:v>
                  </c:pt>
                  <c:pt idx="1">
                    <c:v>Mobile</c:v>
                  </c:pt>
                  <c:pt idx="2">
                    <c:v>Mouse</c:v>
                  </c:pt>
                  <c:pt idx="3">
                    <c:v>Headphones</c:v>
                  </c:pt>
                  <c:pt idx="4">
                    <c:v>Laptop</c:v>
                  </c:pt>
                  <c:pt idx="5">
                    <c:v>Mobile</c:v>
                  </c:pt>
                  <c:pt idx="6">
                    <c:v>Headphones</c:v>
                  </c:pt>
                  <c:pt idx="7">
                    <c:v>Keyboard</c:v>
                  </c:pt>
                  <c:pt idx="8">
                    <c:v>Laptop</c:v>
                  </c:pt>
                  <c:pt idx="9">
                    <c:v>Keyboard</c:v>
                  </c:pt>
                  <c:pt idx="10">
                    <c:v>Mobile</c:v>
                  </c:pt>
                  <c:pt idx="11">
                    <c:v>Mouse</c:v>
                  </c:pt>
                </c:lvl>
                <c:lvl>
                  <c:pt idx="0">
                    <c:v>South</c:v>
                  </c:pt>
                  <c:pt idx="3">
                    <c:v>North</c:v>
                  </c:pt>
                  <c:pt idx="6">
                    <c:v>East</c:v>
                  </c:pt>
                  <c:pt idx="9">
                    <c:v>West</c:v>
                  </c:pt>
                </c:lvl>
              </c:multiLvlStrCache>
            </c:multiLvlStrRef>
          </c:cat>
          <c:val>
            <c:numRef>
              <c:f>'Dash-2'!$B$13:$B$29</c:f>
              <c:numCache>
                <c:formatCode>"₹"\ #,##0</c:formatCode>
                <c:ptCount val="12"/>
                <c:pt idx="0">
                  <c:v>250000</c:v>
                </c:pt>
                <c:pt idx="1">
                  <c:v>120000</c:v>
                </c:pt>
                <c:pt idx="2">
                  <c:v>12500</c:v>
                </c:pt>
                <c:pt idx="3">
                  <c:v>30000</c:v>
                </c:pt>
                <c:pt idx="4">
                  <c:v>200000</c:v>
                </c:pt>
                <c:pt idx="5">
                  <c:v>150000</c:v>
                </c:pt>
                <c:pt idx="6">
                  <c:v>36000</c:v>
                </c:pt>
                <c:pt idx="7">
                  <c:v>24000</c:v>
                </c:pt>
                <c:pt idx="8">
                  <c:v>300000</c:v>
                </c:pt>
                <c:pt idx="9">
                  <c:v>18000</c:v>
                </c:pt>
                <c:pt idx="10">
                  <c:v>135000</c:v>
                </c:pt>
                <c:pt idx="11">
                  <c:v>15000</c:v>
                </c:pt>
              </c:numCache>
            </c:numRef>
          </c:val>
          <c:extLst>
            <c:ext xmlns:c16="http://schemas.microsoft.com/office/drawing/2014/chart" uri="{C3380CC4-5D6E-409C-BE32-E72D297353CC}">
              <c16:uniqueId val="{00000000-249A-4FE8-855D-179D5FEE1271}"/>
            </c:ext>
          </c:extLst>
        </c:ser>
        <c:dLbls>
          <c:showLegendKey val="0"/>
          <c:showVal val="1"/>
          <c:showCatName val="0"/>
          <c:showSerName val="0"/>
          <c:showPercent val="0"/>
          <c:showBubbleSize val="0"/>
        </c:dLbls>
        <c:gapWidth val="65"/>
        <c:axId val="168646863"/>
        <c:axId val="168647343"/>
      </c:barChart>
      <c:catAx>
        <c:axId val="168646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647343"/>
        <c:crosses val="autoZero"/>
        <c:auto val="1"/>
        <c:lblAlgn val="ctr"/>
        <c:lblOffset val="100"/>
        <c:noMultiLvlLbl val="0"/>
      </c:catAx>
      <c:valAx>
        <c:axId val="168647343"/>
        <c:scaling>
          <c:orientation val="minMax"/>
        </c:scaling>
        <c:delete val="0"/>
        <c:axPos val="b"/>
        <c:majorGridlines>
          <c:spPr>
            <a:ln w="9525" cap="flat" cmpd="sng" algn="ctr">
              <a:solidFill>
                <a:schemeClr val="dk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6468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tables.xlsx]Dash-2!PivotTable4</c:name>
    <c:fmtId val="14"/>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Products</a:t>
            </a:r>
            <a:r>
              <a:rPr lang="en-US" sz="2400" baseline="0"/>
              <a:t> &amp; Their Units</a:t>
            </a:r>
            <a:endParaRPr lang="en-US" sz="2400"/>
          </a:p>
        </c:rich>
      </c:tx>
      <c:layout>
        <c:manualLayout>
          <c:xMode val="edge"/>
          <c:yMode val="edge"/>
          <c:x val="0.24968707575346186"/>
          <c:y val="0.11827138651465369"/>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29781972199325"/>
          <c:y val="0.21534791686567775"/>
          <c:w val="0.6279017469386724"/>
          <c:h val="0.74259947142655691"/>
        </c:manualLayout>
      </c:layout>
      <c:barChart>
        <c:barDir val="bar"/>
        <c:grouping val="clustered"/>
        <c:varyColors val="0"/>
        <c:ser>
          <c:idx val="0"/>
          <c:order val="0"/>
          <c:tx>
            <c:strRef>
              <c:f>'Dash-2'!$B$35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'Dash-2'!$A$36:$A$41</c:f>
              <c:strCache>
                <c:ptCount val="5"/>
                <c:pt idx="0">
                  <c:v>Mouse</c:v>
                </c:pt>
                <c:pt idx="1">
                  <c:v>Keyboard</c:v>
                </c:pt>
                <c:pt idx="2">
                  <c:v>Mobile</c:v>
                </c:pt>
                <c:pt idx="3">
                  <c:v>Headphones</c:v>
                </c:pt>
                <c:pt idx="4">
                  <c:v>Laptop</c:v>
                </c:pt>
              </c:strCache>
            </c:strRef>
          </c:cat>
          <c:val>
            <c:numRef>
              <c:f>'Dash-2'!$B$36:$B$41</c:f>
              <c:numCache>
                <c:formatCode>General</c:formatCode>
                <c:ptCount val="5"/>
                <c:pt idx="0">
                  <c:v>55</c:v>
                </c:pt>
                <c:pt idx="1">
                  <c:v>35</c:v>
                </c:pt>
                <c:pt idx="2">
                  <c:v>27</c:v>
                </c:pt>
                <c:pt idx="3">
                  <c:v>22</c:v>
                </c:pt>
                <c:pt idx="4">
                  <c:v>15</c:v>
                </c:pt>
              </c:numCache>
            </c:numRef>
          </c:val>
          <c:extLst>
            <c:ext xmlns:c16="http://schemas.microsoft.com/office/drawing/2014/chart" uri="{C3380CC4-5D6E-409C-BE32-E72D297353CC}">
              <c16:uniqueId val="{00000000-E6BD-42C2-B859-A64892EB6328}"/>
            </c:ext>
          </c:extLst>
        </c:ser>
        <c:dLbls>
          <c:dLblPos val="inEnd"/>
          <c:showLegendKey val="0"/>
          <c:showVal val="1"/>
          <c:showCatName val="0"/>
          <c:showSerName val="0"/>
          <c:showPercent val="0"/>
          <c:showBubbleSize val="0"/>
        </c:dLbls>
        <c:gapWidth val="65"/>
        <c:axId val="2003298623"/>
        <c:axId val="2003299583"/>
      </c:barChart>
      <c:catAx>
        <c:axId val="20032986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3299583"/>
        <c:crosses val="autoZero"/>
        <c:auto val="1"/>
        <c:lblAlgn val="ctr"/>
        <c:lblOffset val="100"/>
        <c:noMultiLvlLbl val="0"/>
      </c:catAx>
      <c:valAx>
        <c:axId val="20032995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329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tables.xlsx]Dash-2!PivotTable5</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a:t>
            </a:r>
          </a:p>
        </c:rich>
      </c:tx>
      <c:layout>
        <c:manualLayout>
          <c:xMode val="edge"/>
          <c:yMode val="edge"/>
          <c:x val="0.29513098036051116"/>
          <c:y val="7.84812499834958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9007799375021"/>
          <c:y val="0.25564850683799273"/>
          <c:w val="0.76668760493972066"/>
          <c:h val="0.63870443868780247"/>
        </c:manualLayout>
      </c:layout>
      <c:lineChart>
        <c:grouping val="standard"/>
        <c:varyColors val="0"/>
        <c:ser>
          <c:idx val="0"/>
          <c:order val="0"/>
          <c:tx>
            <c:strRef>
              <c:f>'Dash-2'!$B$51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'Dash-2'!$A$52:$A$58</c:f>
              <c:strCache>
                <c:ptCount val="6"/>
                <c:pt idx="0">
                  <c:v>Jan</c:v>
                </c:pt>
                <c:pt idx="1">
                  <c:v>Feb</c:v>
                </c:pt>
                <c:pt idx="2">
                  <c:v>Mar</c:v>
                </c:pt>
                <c:pt idx="3">
                  <c:v>Apr</c:v>
                </c:pt>
                <c:pt idx="4">
                  <c:v>May</c:v>
                </c:pt>
                <c:pt idx="5">
                  <c:v>Jun</c:v>
                </c:pt>
              </c:strCache>
            </c:strRef>
          </c:cat>
          <c:val>
            <c:numRef>
              <c:f>'Dash-2'!$B$52:$B$58</c:f>
              <c:numCache>
                <c:formatCode>"₹"\ #,##0</c:formatCode>
                <c:ptCount val="6"/>
                <c:pt idx="0">
                  <c:v>50000</c:v>
                </c:pt>
                <c:pt idx="1">
                  <c:v>9000</c:v>
                </c:pt>
                <c:pt idx="2">
                  <c:v>43000</c:v>
                </c:pt>
                <c:pt idx="3">
                  <c:v>10500</c:v>
                </c:pt>
                <c:pt idx="4">
                  <c:v>9000</c:v>
                </c:pt>
                <c:pt idx="5">
                  <c:v>57000</c:v>
                </c:pt>
              </c:numCache>
            </c:numRef>
          </c:val>
          <c:smooth val="0"/>
          <c:extLst>
            <c:ext xmlns:c16="http://schemas.microsoft.com/office/drawing/2014/chart" uri="{C3380CC4-5D6E-409C-BE32-E72D297353CC}">
              <c16:uniqueId val="{00000001-0A2C-4497-9D31-5EDF5CD5C2E5}"/>
            </c:ext>
          </c:extLst>
        </c:ser>
        <c:dLbls>
          <c:dLblPos val="ctr"/>
          <c:showLegendKey val="0"/>
          <c:showVal val="1"/>
          <c:showCatName val="0"/>
          <c:showSerName val="0"/>
          <c:showPercent val="0"/>
          <c:showBubbleSize val="0"/>
        </c:dLbls>
        <c:marker val="1"/>
        <c:smooth val="0"/>
        <c:axId val="176698943"/>
        <c:axId val="176699423"/>
      </c:lineChart>
      <c:catAx>
        <c:axId val="1766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99423"/>
        <c:crosses val="autoZero"/>
        <c:auto val="1"/>
        <c:lblAlgn val="ctr"/>
        <c:lblOffset val="100"/>
        <c:noMultiLvlLbl val="0"/>
      </c:catAx>
      <c:valAx>
        <c:axId val="176699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9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7</xdr:col>
      <xdr:colOff>344214</xdr:colOff>
      <xdr:row>114</xdr:row>
      <xdr:rowOff>40290</xdr:rowOff>
    </xdr:from>
    <xdr:to>
      <xdr:col>8</xdr:col>
      <xdr:colOff>858960</xdr:colOff>
      <xdr:row>127</xdr:row>
      <xdr:rowOff>116161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77A830C-F4B0-5DBA-EFC0-B25196E661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09378" y="22200749"/>
              <a:ext cx="1842478" cy="2430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431799</xdr:colOff>
      <xdr:row>121</xdr:row>
      <xdr:rowOff>145394</xdr:rowOff>
    </xdr:from>
    <xdr:to>
      <xdr:col>6</xdr:col>
      <xdr:colOff>746105</xdr:colOff>
      <xdr:row>130</xdr:row>
      <xdr:rowOff>157655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79EA58A-B14C-D8FF-175E-7B9BA351D2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98471" y="23573771"/>
              <a:ext cx="1825815" cy="1642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186559</xdr:colOff>
      <xdr:row>140</xdr:row>
      <xdr:rowOff>28553</xdr:rowOff>
    </xdr:from>
    <xdr:to>
      <xdr:col>8</xdr:col>
      <xdr:colOff>701305</xdr:colOff>
      <xdr:row>149</xdr:row>
      <xdr:rowOff>157655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4C03C034-2D54-13E6-34D9-1669B678BDE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651723" y="26898422"/>
              <a:ext cx="1842478" cy="1759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606972</xdr:colOff>
      <xdr:row>156</xdr:row>
      <xdr:rowOff>26713</xdr:rowOff>
    </xdr:from>
    <xdr:to>
      <xdr:col>5</xdr:col>
      <xdr:colOff>743831</xdr:colOff>
      <xdr:row>169</xdr:row>
      <xdr:rowOff>102585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1D62BE65-685F-5BD1-9C17-B844FD16BE3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655628" y="29794680"/>
              <a:ext cx="1827436" cy="2430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32524</xdr:colOff>
      <xdr:row>175</xdr:row>
      <xdr:rowOff>9292</xdr:rowOff>
    </xdr:from>
    <xdr:to>
      <xdr:col>13</xdr:col>
      <xdr:colOff>506450</xdr:colOff>
      <xdr:row>196</xdr:row>
      <xdr:rowOff>79916</xdr:rowOff>
    </xdr:to>
    <xdr:graphicFrame macro="">
      <xdr:nvGraphicFramePr>
        <xdr:cNvPr id="7" name="Chart 6">
          <a:extLst>
            <a:ext uri="{FF2B5EF4-FFF2-40B4-BE49-F238E27FC236}">
              <a16:creationId xmlns:a16="http://schemas.microsoft.com/office/drawing/2014/main" id="{6EB896C0-64E6-F588-C1B7-2A77EADB6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8965</xdr:colOff>
      <xdr:row>334</xdr:row>
      <xdr:rowOff>340659</xdr:rowOff>
    </xdr:from>
    <xdr:to>
      <xdr:col>5</xdr:col>
      <xdr:colOff>986118</xdr:colOff>
      <xdr:row>341</xdr:row>
      <xdr:rowOff>170330</xdr:rowOff>
    </xdr:to>
    <xdr:graphicFrame macro="">
      <xdr:nvGraphicFramePr>
        <xdr:cNvPr id="2" name="Chart 1">
          <a:extLst>
            <a:ext uri="{FF2B5EF4-FFF2-40B4-BE49-F238E27FC236}">
              <a16:creationId xmlns:a16="http://schemas.microsoft.com/office/drawing/2014/main" id="{3BA09D09-28A4-079F-2B22-51B387FCF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1013011</xdr:colOff>
      <xdr:row>351</xdr:row>
      <xdr:rowOff>35858</xdr:rowOff>
    </xdr:from>
    <xdr:to>
      <xdr:col>7</xdr:col>
      <xdr:colOff>1317811</xdr:colOff>
      <xdr:row>362</xdr:row>
      <xdr:rowOff>62752</xdr:rowOff>
    </xdr:to>
    <xdr:graphicFrame macro="">
      <xdr:nvGraphicFramePr>
        <xdr:cNvPr id="8" name="Chart 7">
          <a:extLst>
            <a:ext uri="{FF2B5EF4-FFF2-40B4-BE49-F238E27FC236}">
              <a16:creationId xmlns:a16="http://schemas.microsoft.com/office/drawing/2014/main" id="{14253E2E-E80F-9365-1EA3-A9B19D5BD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188258</xdr:colOff>
      <xdr:row>366</xdr:row>
      <xdr:rowOff>125506</xdr:rowOff>
    </xdr:from>
    <xdr:to>
      <xdr:col>10</xdr:col>
      <xdr:colOff>8964</xdr:colOff>
      <xdr:row>376</xdr:row>
      <xdr:rowOff>8965</xdr:rowOff>
    </xdr:to>
    <xdr:graphicFrame macro="">
      <xdr:nvGraphicFramePr>
        <xdr:cNvPr id="9" name="Chart 8">
          <a:extLst>
            <a:ext uri="{FF2B5EF4-FFF2-40B4-BE49-F238E27FC236}">
              <a16:creationId xmlns:a16="http://schemas.microsoft.com/office/drawing/2014/main" id="{EBDEF6AF-CB00-A950-2A7F-F23FD434A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17450</xdr:colOff>
      <xdr:row>381</xdr:row>
      <xdr:rowOff>174504</xdr:rowOff>
    </xdr:from>
    <xdr:to>
      <xdr:col>10</xdr:col>
      <xdr:colOff>93069</xdr:colOff>
      <xdr:row>389</xdr:row>
      <xdr:rowOff>161707</xdr:rowOff>
    </xdr:to>
    <xdr:graphicFrame macro="">
      <xdr:nvGraphicFramePr>
        <xdr:cNvPr id="10" name="Chart 9">
          <a:extLst>
            <a:ext uri="{FF2B5EF4-FFF2-40B4-BE49-F238E27FC236}">
              <a16:creationId xmlns:a16="http://schemas.microsoft.com/office/drawing/2014/main" id="{D8DE37F9-CA59-9438-E713-62BE8A428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20973</xdr:colOff>
      <xdr:row>396</xdr:row>
      <xdr:rowOff>188751</xdr:rowOff>
    </xdr:from>
    <xdr:to>
      <xdr:col>7</xdr:col>
      <xdr:colOff>1006679</xdr:colOff>
      <xdr:row>406</xdr:row>
      <xdr:rowOff>11884</xdr:rowOff>
    </xdr:to>
    <xdr:graphicFrame macro="">
      <xdr:nvGraphicFramePr>
        <xdr:cNvPr id="11" name="Chart 10">
          <a:extLst>
            <a:ext uri="{FF2B5EF4-FFF2-40B4-BE49-F238E27FC236}">
              <a16:creationId xmlns:a16="http://schemas.microsoft.com/office/drawing/2014/main" id="{745D019F-A946-519D-C52D-A740E077A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274320</xdr:colOff>
      <xdr:row>8</xdr:row>
      <xdr:rowOff>114300</xdr:rowOff>
    </xdr:from>
    <xdr:to>
      <xdr:col>7</xdr:col>
      <xdr:colOff>350520</xdr:colOff>
      <xdr:row>20</xdr:row>
      <xdr:rowOff>30480</xdr:rowOff>
    </xdr:to>
    <xdr:graphicFrame macro="">
      <xdr:nvGraphicFramePr>
        <xdr:cNvPr id="2" name="Chart 1">
          <a:extLst>
            <a:ext uri="{FF2B5EF4-FFF2-40B4-BE49-F238E27FC236}">
              <a16:creationId xmlns:a16="http://schemas.microsoft.com/office/drawing/2014/main" id="{C1EBF497-57C8-6FB8-32F2-967B55484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160020</xdr:colOff>
      <xdr:row>22</xdr:row>
      <xdr:rowOff>22860</xdr:rowOff>
    </xdr:from>
    <xdr:to>
      <xdr:col>7</xdr:col>
      <xdr:colOff>205740</xdr:colOff>
      <xdr:row>33</xdr:row>
      <xdr:rowOff>49530</xdr:rowOff>
    </xdr:to>
    <xdr:graphicFrame macro="">
      <xdr:nvGraphicFramePr>
        <xdr:cNvPr id="3" name="Chart 2">
          <a:extLst>
            <a:ext uri="{FF2B5EF4-FFF2-40B4-BE49-F238E27FC236}">
              <a16:creationId xmlns:a16="http://schemas.microsoft.com/office/drawing/2014/main" id="{E84E4917-5FDC-9FD4-EBE3-FED33B746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373380</xdr:colOff>
      <xdr:row>17</xdr:row>
      <xdr:rowOff>121921</xdr:rowOff>
    </xdr:from>
    <xdr:to>
      <xdr:col>11</xdr:col>
      <xdr:colOff>350520</xdr:colOff>
      <xdr:row>27</xdr:row>
      <xdr:rowOff>7620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DCE3E955-E435-072C-1F5F-0F8761E95C5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115709" y="3295427"/>
              <a:ext cx="2415540" cy="1696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133772</xdr:colOff>
      <xdr:row>8</xdr:row>
      <xdr:rowOff>169333</xdr:rowOff>
    </xdr:from>
    <xdr:to>
      <xdr:col>8</xdr:col>
      <xdr:colOff>965199</xdr:colOff>
      <xdr:row>30</xdr:row>
      <xdr:rowOff>16933</xdr:rowOff>
    </xdr:to>
    <xdr:graphicFrame macro="">
      <xdr:nvGraphicFramePr>
        <xdr:cNvPr id="2" name="Chart 1">
          <a:extLst>
            <a:ext uri="{FF2B5EF4-FFF2-40B4-BE49-F238E27FC236}">
              <a16:creationId xmlns:a16="http://schemas.microsoft.com/office/drawing/2014/main" id="{28A505B7-4CC5-9AC3-0650-C7C928FD7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33867</xdr:colOff>
      <xdr:row>31</xdr:row>
      <xdr:rowOff>152401</xdr:rowOff>
    </xdr:from>
    <xdr:to>
      <xdr:col>6</xdr:col>
      <xdr:colOff>482600</xdr:colOff>
      <xdr:row>49</xdr:row>
      <xdr:rowOff>101600</xdr:rowOff>
    </xdr:to>
    <xdr:graphicFrame macro="">
      <xdr:nvGraphicFramePr>
        <xdr:cNvPr id="3" name="Chart 2">
          <a:extLst>
            <a:ext uri="{FF2B5EF4-FFF2-40B4-BE49-F238E27FC236}">
              <a16:creationId xmlns:a16="http://schemas.microsoft.com/office/drawing/2014/main" id="{5CE6DDDF-B2A7-9C5A-4E5E-90FBAE4E8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194732</xdr:colOff>
      <xdr:row>50</xdr:row>
      <xdr:rowOff>16932</xdr:rowOff>
    </xdr:from>
    <xdr:to>
      <xdr:col>6</xdr:col>
      <xdr:colOff>516467</xdr:colOff>
      <xdr:row>67</xdr:row>
      <xdr:rowOff>67734</xdr:rowOff>
    </xdr:to>
    <xdr:graphicFrame macro="">
      <xdr:nvGraphicFramePr>
        <xdr:cNvPr id="4" name="Chart 3">
          <a:extLst>
            <a:ext uri="{FF2B5EF4-FFF2-40B4-BE49-F238E27FC236}">
              <a16:creationId xmlns:a16="http://schemas.microsoft.com/office/drawing/2014/main" id="{D173F2C5-6218-9962-968A-DDBA19435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528320</xdr:colOff>
      <xdr:row>32</xdr:row>
      <xdr:rowOff>8465</xdr:rowOff>
    </xdr:from>
    <xdr:to>
      <xdr:col>8</xdr:col>
      <xdr:colOff>169333</xdr:colOff>
      <xdr:row>45</xdr:row>
      <xdr:rowOff>135465</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3EF7095E-7047-00F7-9864-DE844520868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920653" y="6857998"/>
              <a:ext cx="2113280" cy="2548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226905</xdr:colOff>
      <xdr:row>10</xdr:row>
      <xdr:rowOff>32173</xdr:rowOff>
    </xdr:from>
    <xdr:to>
      <xdr:col>11</xdr:col>
      <xdr:colOff>745065</xdr:colOff>
      <xdr:row>19</xdr:row>
      <xdr:rowOff>84666</xdr:rowOff>
    </xdr:to>
    <mc:AlternateContent xmlns:mc="http://schemas.openxmlformats.org/markup-compatibility/2006">
      <mc:Choice xmlns:a14="http://schemas.microsoft.com/office/drawing/2010/main" Requires="a14">
        <xdr:graphicFrame macro="">
          <xdr:nvGraphicFramePr>
            <xdr:cNvPr id="6" name="Product 2">
              <a:extLst>
                <a:ext uri="{FF2B5EF4-FFF2-40B4-BE49-F238E27FC236}">
                  <a16:creationId xmlns:a16="http://schemas.microsoft.com/office/drawing/2014/main" id="{CF81B675-A086-2A05-3A59-BB1FA13AA7F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0200638" y="2639906"/>
              <a:ext cx="2736427" cy="1872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176107</xdr:colOff>
      <xdr:row>20</xdr:row>
      <xdr:rowOff>6774</xdr:rowOff>
    </xdr:from>
    <xdr:to>
      <xdr:col>11</xdr:col>
      <xdr:colOff>660400</xdr:colOff>
      <xdr:row>29</xdr:row>
      <xdr:rowOff>177801</xdr:rowOff>
    </xdr:to>
    <mc:AlternateContent xmlns:mc="http://schemas.openxmlformats.org/markup-compatibility/2006">
      <mc:Choice xmlns:a14="http://schemas.microsoft.com/office/drawing/2010/main" Requires="a14">
        <xdr:graphicFrame macro="">
          <xdr:nvGraphicFramePr>
            <xdr:cNvPr id="7" name="Region 2">
              <a:extLst>
                <a:ext uri="{FF2B5EF4-FFF2-40B4-BE49-F238E27FC236}">
                  <a16:creationId xmlns:a16="http://schemas.microsoft.com/office/drawing/2014/main" id="{E14E1124-DC08-C636-DA6A-7C23B597F7F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149840" y="4621107"/>
              <a:ext cx="2702560" cy="1847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152401</xdr:rowOff>
    </xdr:from>
    <xdr:to>
      <xdr:col>11</xdr:col>
      <xdr:colOff>28574</xdr:colOff>
      <xdr:row>42</xdr:row>
      <xdr:rowOff>95250</xdr:rowOff>
    </xdr:to>
    <xdr:graphicFrame macro="">
      <xdr:nvGraphicFramePr>
        <xdr:cNvPr id="2" name="Chart 1">
          <a:extLst>
            <a:ext uri="{FF2B5EF4-FFF2-40B4-BE49-F238E27FC236}">
              <a16:creationId xmlns:a16="http://schemas.microsoft.com/office/drawing/2014/main" id="{75898BD9-EDB7-4BAA-8447-0C1FC89F3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289560</xdr:colOff>
      <xdr:row>10</xdr:row>
      <xdr:rowOff>13336</xdr:rowOff>
    </xdr:from>
    <xdr:to>
      <xdr:col>15</xdr:col>
      <xdr:colOff>591397</xdr:colOff>
      <xdr:row>26</xdr:row>
      <xdr:rowOff>28576</xdr:rowOff>
    </xdr:to>
    <mc:AlternateContent xmlns:mc="http://schemas.openxmlformats.org/markup-compatibility/2006">
      <mc:Choice xmlns:a14="http://schemas.microsoft.com/office/drawing/2010/main" Requires="a14">
        <xdr:graphicFrame macro="">
          <xdr:nvGraphicFramePr>
            <xdr:cNvPr id="3" name="Product 3">
              <a:extLst>
                <a:ext uri="{FF2B5EF4-FFF2-40B4-BE49-F238E27FC236}">
                  <a16:creationId xmlns:a16="http://schemas.microsoft.com/office/drawing/2014/main" id="{C02A8363-1237-4074-BC09-6E4E219759B8}"/>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0005060" y="3699511"/>
              <a:ext cx="2740237" cy="2910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280035</xdr:colOff>
      <xdr:row>26</xdr:row>
      <xdr:rowOff>133350</xdr:rowOff>
    </xdr:from>
    <xdr:to>
      <xdr:col>16</xdr:col>
      <xdr:colOff>123825</xdr:colOff>
      <xdr:row>42</xdr:row>
      <xdr:rowOff>19050</xdr:rowOff>
    </xdr:to>
    <mc:AlternateContent xmlns:mc="http://schemas.openxmlformats.org/markup-compatibility/2006">
      <mc:Choice xmlns:a14="http://schemas.microsoft.com/office/drawing/2010/main" Requires="a14">
        <xdr:graphicFrame macro="">
          <xdr:nvGraphicFramePr>
            <xdr:cNvPr id="4" name="Region 3">
              <a:extLst>
                <a:ext uri="{FF2B5EF4-FFF2-40B4-BE49-F238E27FC236}">
                  <a16:creationId xmlns:a16="http://schemas.microsoft.com/office/drawing/2014/main" id="{3FDEE187-5EE4-42E5-B959-314B2BB6AED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9995535" y="6715125"/>
              <a:ext cx="2891790" cy="278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45</xdr:row>
      <xdr:rowOff>9525</xdr:rowOff>
    </xdr:from>
    <xdr:to>
      <xdr:col>9</xdr:col>
      <xdr:colOff>476250</xdr:colOff>
      <xdr:row>77</xdr:row>
      <xdr:rowOff>57150</xdr:rowOff>
    </xdr:to>
    <xdr:graphicFrame macro="">
      <xdr:nvGraphicFramePr>
        <xdr:cNvPr id="5" name="Chart 4">
          <a:extLst>
            <a:ext uri="{FF2B5EF4-FFF2-40B4-BE49-F238E27FC236}">
              <a16:creationId xmlns:a16="http://schemas.microsoft.com/office/drawing/2014/main" id="{D9FC1AA4-6F00-45E3-803B-AB8A01691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508634</xdr:colOff>
      <xdr:row>44</xdr:row>
      <xdr:rowOff>179070</xdr:rowOff>
    </xdr:from>
    <xdr:to>
      <xdr:col>12</xdr:col>
      <xdr:colOff>66674</xdr:colOff>
      <xdr:row>63</xdr:row>
      <xdr:rowOff>28575</xdr:rowOff>
    </xdr:to>
    <mc:AlternateContent xmlns:mc="http://schemas.openxmlformats.org/markup-compatibility/2006">
      <mc:Choice xmlns:a14="http://schemas.microsoft.com/office/drawing/2010/main" Requires="a14">
        <xdr:graphicFrame macro="">
          <xdr:nvGraphicFramePr>
            <xdr:cNvPr id="6" name="Product 4">
              <a:extLst>
                <a:ext uri="{FF2B5EF4-FFF2-40B4-BE49-F238E27FC236}">
                  <a16:creationId xmlns:a16="http://schemas.microsoft.com/office/drawing/2014/main" id="{515A6BC4-14CE-4F9C-AA1B-26F57AD50BA6}"/>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dr:sp macro="" textlink="">
          <xdr:nvSpPr>
            <xdr:cNvPr id="0" name=""/>
            <xdr:cNvSpPr>
              <a:spLocks noTextEdit="1"/>
            </xdr:cNvSpPr>
          </xdr:nvSpPr>
          <xdr:spPr>
            <a:xfrm>
              <a:off x="7947659" y="10018395"/>
              <a:ext cx="2444115" cy="3288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167641</xdr:colOff>
      <xdr:row>47</xdr:row>
      <xdr:rowOff>76201</xdr:rowOff>
    </xdr:from>
    <xdr:to>
      <xdr:col>23</xdr:col>
      <xdr:colOff>342901</xdr:colOff>
      <xdr:row>71</xdr:row>
      <xdr:rowOff>47625</xdr:rowOff>
    </xdr:to>
    <xdr:graphicFrame macro="">
      <xdr:nvGraphicFramePr>
        <xdr:cNvPr id="7" name="Chart 6">
          <a:extLst>
            <a:ext uri="{FF2B5EF4-FFF2-40B4-BE49-F238E27FC236}">
              <a16:creationId xmlns:a16="http://schemas.microsoft.com/office/drawing/2014/main" id="{AAF796A3-D2E5-4AC9-9DA4-6744E1225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5.383454629628" createdVersion="8" refreshedVersion="8" minRefreshableVersion="3" recordCount="15" xr:uid="{D3F3F7D3-45BE-4E52-A69C-3026872FCCA6}">
  <cacheSource type="worksheet">
    <worksheetSource name="Table1"/>
  </cacheSource>
  <cacheFields count="8">
    <cacheField name="Date" numFmtId="16">
      <sharedItems containsSemiMixedTypes="0" containsNonDate="0" containsDate="1" containsString="0" minDate="2026-01-01T00:00:00" maxDate="2026-01-16T00:00:00" count="15">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sharedItems>
    </cacheField>
    <cacheField name="Salesperson" numFmtId="0">
      <sharedItems count="4">
        <s v="Ravi"/>
        <s v="Priya"/>
        <s v="Arun"/>
        <s v="Sneha"/>
      </sharedItems>
    </cacheField>
    <cacheField name="Region" numFmtId="0">
      <sharedItems count="4">
        <s v="South"/>
        <s v="North"/>
        <s v="East"/>
        <s v="West"/>
      </sharedItems>
    </cacheField>
    <cacheField name="Product" numFmtId="0">
      <sharedItems count="5">
        <s v="Laptop"/>
        <s v="Mouse"/>
        <s v="Keyboard"/>
        <s v="Mobile"/>
        <s v="Headphones"/>
      </sharedItems>
    </cacheField>
    <cacheField name="Category" numFmtId="0">
      <sharedItems count="2">
        <s v="Electronics"/>
        <s v="Accessories"/>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400" maxValue="52000"/>
    </cacheField>
    <cacheField name="Total Sales" numFmtId="0">
      <sharedItems containsSemiMixedTypes="0" containsString="0" containsNumber="1" containsInteger="1" minValue="3900" maxValue="100000"/>
    </cacheField>
  </cacheFields>
  <extLst>
    <ext xmlns:x14="http://schemas.microsoft.com/office/spreadsheetml/2009/9/main" uri="{725AE2AE-9491-48be-B2B4-4EB974FC3084}">
      <x14:pivotCacheDefinition pivotCacheId="3318192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7.615391319443" createdVersion="8" refreshedVersion="8" minRefreshableVersion="3" recordCount="4" xr:uid="{FB7E62C2-FB11-498A-9755-C0FC58C57ED7}">
  <cacheSource type="worksheet">
    <worksheetSource name="Table2"/>
  </cacheSource>
  <cacheFields count="3">
    <cacheField name="Region" numFmtId="0">
      <sharedItems count="4">
        <s v="South"/>
        <s v="North"/>
        <s v="East"/>
        <s v="West"/>
      </sharedItems>
    </cacheField>
    <cacheField name="Sales" numFmtId="0">
      <sharedItems containsSemiMixedTypes="0" containsString="0" containsNumber="1" containsInteger="1" minValue="70000" maxValue="150000"/>
    </cacheField>
    <cacheField name="Profit" numFmtId="0">
      <sharedItems containsSemiMixedTypes="0" containsString="0" containsNumber="1" containsInteger="1" minValue="7000" maxValue="18000"/>
    </cacheField>
  </cacheFields>
  <extLst>
    <ext xmlns:x14="http://schemas.microsoft.com/office/spreadsheetml/2009/9/main" uri="{725AE2AE-9491-48be-B2B4-4EB974FC3084}">
      <x14:pivotCacheDefinition pivotCacheId="7143136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7.714796875" createdVersion="8" refreshedVersion="8" minRefreshableVersion="3" recordCount="12" xr:uid="{8571E07B-CB8D-4F4E-B0FB-D25EEED87F02}">
  <cacheSource type="worksheet">
    <worksheetSource name="Table9"/>
  </cacheSource>
  <cacheFields count="6">
    <cacheField name="Month" numFmtId="0">
      <sharedItems count="6">
        <s v="Jan"/>
        <s v="Feb"/>
        <s v="Mar"/>
        <s v="Apr"/>
        <s v="May"/>
        <s v="Jun"/>
      </sharedItems>
    </cacheField>
    <cacheField name="Region" numFmtId="0">
      <sharedItems count="4">
        <s v="South"/>
        <s v="North"/>
        <s v="East"/>
        <s v="West"/>
      </sharedItems>
    </cacheField>
    <cacheField name="Product" numFmtId="0">
      <sharedItems count="5">
        <s v="Laptop"/>
        <s v="Mobile"/>
        <s v="Keyboard"/>
        <s v="Mouse"/>
        <s v="Headphones"/>
      </sharedItems>
    </cacheField>
    <cacheField name="Units Sold" numFmtId="0">
      <sharedItems containsSemiMixedTypes="0" containsString="0" containsNumber="1" containsInteger="1" minValue="4" maxValue="30" count="11">
        <n v="5"/>
        <n v="10"/>
        <n v="20"/>
        <n v="30"/>
        <n v="8"/>
        <n v="4"/>
        <n v="12"/>
        <n v="15"/>
        <n v="25"/>
        <n v="6"/>
        <n v="9"/>
      </sharedItems>
    </cacheField>
    <cacheField name="Sales" numFmtId="164">
      <sharedItems containsSemiMixedTypes="0" containsString="0" containsNumber="1" containsInteger="1" minValue="12500" maxValue="300000"/>
    </cacheField>
    <cacheField name="Profit" numFmtId="164">
      <sharedItems containsSemiMixedTypes="0" containsString="0" containsNumber="1" containsInteger="1" minValue="3000" maxValue="40000" count="12">
        <n v="30000"/>
        <n v="20000"/>
        <n v="5000"/>
        <n v="4000"/>
        <n v="18000"/>
        <n v="25000"/>
        <n v="7000"/>
        <n v="3500"/>
        <n v="3000"/>
        <n v="6000"/>
        <n v="40000"/>
        <n v="17000"/>
      </sharedItems>
    </cacheField>
  </cacheFields>
  <extLst>
    <ext xmlns:x14="http://schemas.microsoft.com/office/spreadsheetml/2009/9/main" uri="{725AE2AE-9491-48be-B2B4-4EB974FC3084}">
      <x14:pivotCacheDefinition pivotCacheId="13655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n v="2"/>
    <n v="50000"/>
    <n v="100000"/>
  </r>
  <r>
    <x v="1"/>
    <x v="1"/>
    <x v="1"/>
    <x v="1"/>
    <x v="1"/>
    <n v="10"/>
    <n v="500"/>
    <n v="5000"/>
  </r>
  <r>
    <x v="2"/>
    <x v="2"/>
    <x v="2"/>
    <x v="2"/>
    <x v="1"/>
    <n v="5"/>
    <n v="1200"/>
    <n v="6000"/>
  </r>
  <r>
    <x v="3"/>
    <x v="3"/>
    <x v="3"/>
    <x v="3"/>
    <x v="0"/>
    <n v="3"/>
    <n v="20000"/>
    <n v="60000"/>
  </r>
  <r>
    <x v="4"/>
    <x v="0"/>
    <x v="0"/>
    <x v="4"/>
    <x v="1"/>
    <n v="7"/>
    <n v="1500"/>
    <n v="10500"/>
  </r>
  <r>
    <x v="5"/>
    <x v="1"/>
    <x v="1"/>
    <x v="0"/>
    <x v="0"/>
    <n v="1"/>
    <n v="52000"/>
    <n v="52000"/>
  </r>
  <r>
    <x v="6"/>
    <x v="2"/>
    <x v="2"/>
    <x v="3"/>
    <x v="0"/>
    <n v="2"/>
    <n v="18000"/>
    <n v="36000"/>
  </r>
  <r>
    <x v="7"/>
    <x v="3"/>
    <x v="3"/>
    <x v="1"/>
    <x v="1"/>
    <n v="15"/>
    <n v="450"/>
    <n v="6750"/>
  </r>
  <r>
    <x v="8"/>
    <x v="0"/>
    <x v="0"/>
    <x v="2"/>
    <x v="1"/>
    <n v="4"/>
    <n v="1100"/>
    <n v="4400"/>
  </r>
  <r>
    <x v="9"/>
    <x v="1"/>
    <x v="1"/>
    <x v="4"/>
    <x v="1"/>
    <n v="6"/>
    <n v="1600"/>
    <n v="9600"/>
  </r>
  <r>
    <x v="10"/>
    <x v="2"/>
    <x v="2"/>
    <x v="0"/>
    <x v="0"/>
    <n v="1"/>
    <n v="51000"/>
    <n v="51000"/>
  </r>
  <r>
    <x v="11"/>
    <x v="3"/>
    <x v="3"/>
    <x v="3"/>
    <x v="0"/>
    <n v="4"/>
    <n v="21000"/>
    <n v="84000"/>
  </r>
  <r>
    <x v="12"/>
    <x v="0"/>
    <x v="0"/>
    <x v="1"/>
    <x v="1"/>
    <n v="20"/>
    <n v="400"/>
    <n v="8000"/>
  </r>
  <r>
    <x v="13"/>
    <x v="1"/>
    <x v="1"/>
    <x v="2"/>
    <x v="1"/>
    <n v="3"/>
    <n v="1300"/>
    <n v="3900"/>
  </r>
  <r>
    <x v="14"/>
    <x v="2"/>
    <x v="2"/>
    <x v="4"/>
    <x v="1"/>
    <n v="8"/>
    <n v="1400"/>
    <n v="11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20000"/>
    <n v="12000"/>
  </r>
  <r>
    <x v="1"/>
    <n v="70000"/>
    <n v="7000"/>
  </r>
  <r>
    <x v="2"/>
    <n v="100000"/>
    <n v="9000"/>
  </r>
  <r>
    <x v="3"/>
    <n v="150000"/>
    <n v="18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n v="250000"/>
    <x v="0"/>
  </r>
  <r>
    <x v="0"/>
    <x v="1"/>
    <x v="1"/>
    <x v="1"/>
    <n v="150000"/>
    <x v="1"/>
  </r>
  <r>
    <x v="1"/>
    <x v="2"/>
    <x v="2"/>
    <x v="2"/>
    <n v="24000"/>
    <x v="2"/>
  </r>
  <r>
    <x v="1"/>
    <x v="3"/>
    <x v="3"/>
    <x v="3"/>
    <n v="15000"/>
    <x v="3"/>
  </r>
  <r>
    <x v="2"/>
    <x v="0"/>
    <x v="1"/>
    <x v="4"/>
    <n v="120000"/>
    <x v="4"/>
  </r>
  <r>
    <x v="2"/>
    <x v="1"/>
    <x v="0"/>
    <x v="5"/>
    <n v="200000"/>
    <x v="5"/>
  </r>
  <r>
    <x v="3"/>
    <x v="2"/>
    <x v="4"/>
    <x v="6"/>
    <n v="36000"/>
    <x v="6"/>
  </r>
  <r>
    <x v="3"/>
    <x v="3"/>
    <x v="2"/>
    <x v="7"/>
    <n v="18000"/>
    <x v="7"/>
  </r>
  <r>
    <x v="4"/>
    <x v="0"/>
    <x v="3"/>
    <x v="8"/>
    <n v="12500"/>
    <x v="8"/>
  </r>
  <r>
    <x v="4"/>
    <x v="1"/>
    <x v="4"/>
    <x v="1"/>
    <n v="30000"/>
    <x v="9"/>
  </r>
  <r>
    <x v="5"/>
    <x v="2"/>
    <x v="0"/>
    <x v="9"/>
    <n v="300000"/>
    <x v="10"/>
  </r>
  <r>
    <x v="5"/>
    <x v="3"/>
    <x v="1"/>
    <x v="10"/>
    <n v="13500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FA91BC-9551-454E-8B4A-6E6942A6117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6:I101" firstHeaderRow="1" firstDataRow="1" firstDataCol="1"/>
  <pivotFields count="8">
    <pivotField numFmtId="16"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2"/>
  </rowFields>
  <rowItems count="5">
    <i>
      <x v="2"/>
    </i>
    <i>
      <x v="3"/>
    </i>
    <i>
      <x v="1"/>
    </i>
    <i>
      <x/>
    </i>
    <i t="grand">
      <x/>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7E905-E9E1-4B7E-8C25-821EDFB050E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G21" firstHeaderRow="1" firstDataRow="1" firstDataCol="1"/>
  <pivotFields count="8">
    <pivotField numFmtId="16" showAll="0"/>
    <pivotField showAll="0"/>
    <pivotField showAll="0"/>
    <pivotField showAll="0"/>
    <pivotField axis="axisRow" showAll="0">
      <items count="3">
        <item x="1"/>
        <item x="0"/>
        <item t="default"/>
      </items>
    </pivotField>
    <pivotField showAll="0"/>
    <pivotField showAll="0"/>
    <pivotField dataField="1" showAll="0"/>
  </pivotFields>
  <rowFields count="1">
    <field x="4"/>
  </rowFields>
  <rowItems count="3">
    <i>
      <x/>
    </i>
    <i>
      <x v="1"/>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A31AB1-13F3-405D-9642-8AAEA9C6E52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4:I80" firstHeaderRow="1" firstDataRow="1" firstDataCol="1"/>
  <pivotFields count="8">
    <pivotField numFmtId="16"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3"/>
  </rowFields>
  <rowItems count="6">
    <i>
      <x v="2"/>
    </i>
    <i>
      <x v="3"/>
    </i>
    <i>
      <x/>
    </i>
    <i>
      <x v="4"/>
    </i>
    <i>
      <x v="1"/>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102B72-403E-47A9-933F-9D1B6BF9032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B60" firstHeaderRow="1" firstDataRow="1" firstDataCol="1"/>
  <pivotFields count="8">
    <pivotField numFmtId="16" showAll="0"/>
    <pivotField showAll="0"/>
    <pivotField showAll="0"/>
    <pivotField showAll="0"/>
    <pivotField axis="axisRow" showAll="0">
      <items count="3">
        <item x="1"/>
        <item x="0"/>
        <item t="default"/>
      </items>
    </pivotField>
    <pivotField showAll="0"/>
    <pivotField dataField="1" showAll="0"/>
    <pivotField showAll="0"/>
  </pivotFields>
  <rowFields count="1">
    <field x="4"/>
  </rowFields>
  <rowItems count="3">
    <i>
      <x/>
    </i>
    <i>
      <x v="1"/>
    </i>
    <i t="grand">
      <x/>
    </i>
  </rowItems>
  <colItems count="1">
    <i/>
  </colItems>
  <dataFields count="1">
    <dataField name="Average of Unit Price"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AA6B4C-FB82-4D1C-8F5A-6ECB96FD47B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7:A68" firstHeaderRow="1" firstDataRow="1" firstDataCol="0" rowPageCount="2" colPageCount="1"/>
  <pivotFields count="8">
    <pivotField numFmtId="16" showAll="0"/>
    <pivotField showAll="0"/>
    <pivotField axis="axisPage" showAll="0">
      <items count="5">
        <item x="2"/>
        <item x="1"/>
        <item x="0"/>
        <item x="3"/>
        <item t="default"/>
      </items>
    </pivotField>
    <pivotField axis="axisPage" showAll="0">
      <items count="6">
        <item x="4"/>
        <item x="2"/>
        <item x="0"/>
        <item x="3"/>
        <item x="1"/>
        <item t="default"/>
      </items>
    </pivotField>
    <pivotField showAll="0"/>
    <pivotField showAll="0"/>
    <pivotField showAll="0"/>
    <pivotField dataField="1" showAll="0"/>
  </pivotFields>
  <rowItems count="1">
    <i/>
  </rowItems>
  <colItems count="1">
    <i/>
  </colItems>
  <pageFields count="2">
    <pageField fld="2" item="2" hier="-1"/>
    <pageField fld="3" hier="-1"/>
  </pageField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5F8B6C-AE91-4A39-A776-984172ADCFC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6:I91" firstHeaderRow="1" firstDataRow="1" firstDataCol="1"/>
  <pivotFields count="8">
    <pivotField numFmtId="16"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1"/>
  </rowFields>
  <rowItems count="5">
    <i>
      <x v="3"/>
    </i>
    <i>
      <x v="2"/>
    </i>
    <i>
      <x/>
    </i>
    <i>
      <x v="1"/>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04D429-9AA9-48B5-BA0A-72DA52661AC0}"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F116:G120" firstHeaderRow="1" firstDataRow="1" firstDataCol="1"/>
  <pivotFields count="8">
    <pivotField numFmtId="16" showAll="0"/>
    <pivotField showAll="0"/>
    <pivotField showAll="0">
      <items count="5">
        <item h="1" x="2"/>
        <item x="1"/>
        <item h="1" x="0"/>
        <item h="1" x="3"/>
        <item t="default"/>
      </items>
    </pivotField>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3">
        <item x="1"/>
        <item h="1" x="0"/>
        <item t="default"/>
      </items>
    </pivotField>
    <pivotField showAll="0"/>
    <pivotField showAll="0"/>
    <pivotField dataField="1" showAll="0"/>
  </pivotFields>
  <rowFields count="1">
    <field x="3"/>
  </rowFields>
  <rowItems count="4">
    <i>
      <x/>
    </i>
    <i>
      <x v="4"/>
    </i>
    <i>
      <x v="1"/>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0156C9-0FD0-4CE9-AD49-FFC3B5D3913C}"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1:G144" firstHeaderRow="1" firstDataRow="1" firstDataCol="1"/>
  <pivotFields count="8">
    <pivotField numFmtId="16"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items count="6">
        <item h="1" x="4"/>
        <item h="1" x="2"/>
        <item h="1" x="0"/>
        <item x="3"/>
        <item h="1" x="1"/>
        <item t="default"/>
      </items>
    </pivotField>
    <pivotField showAll="0"/>
    <pivotField dataField="1" showAll="0"/>
    <pivotField showAll="0"/>
    <pivotField showAll="0"/>
  </pivotFields>
  <rowFields count="1">
    <field x="1"/>
  </rowFields>
  <rowItems count="3">
    <i>
      <x v="3"/>
    </i>
    <i>
      <x/>
    </i>
    <i t="grand">
      <x/>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E26823-B33F-4B87-B0AA-207DDC43CC5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7:L62" firstHeaderRow="1" firstDataRow="1" firstDataCol="1"/>
  <pivotFields count="8">
    <pivotField numFmtId="16" showAll="0"/>
    <pivotField showAll="0"/>
    <pivotField axis="axisRow" showAll="0">
      <items count="5">
        <item x="2"/>
        <item x="1"/>
        <item x="0"/>
        <item x="3"/>
        <item t="default"/>
      </items>
    </pivotField>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Max of Total Sales" fld="7"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516FDB-731F-4107-97A4-9952277C4FA5}" name="PivotTable20"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F176:H195" firstHeaderRow="1" firstDataRow="1" firstDataCol="2"/>
  <pivotFields count="8">
    <pivotField compact="0" numFmtId="16" showAll="0"/>
    <pivotField compact="0" showAll="0"/>
    <pivotField axis="axisRow" compact="0"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axis="axisRow" compact="0" showAll="0">
      <items count="6">
        <item x="4"/>
        <item x="2"/>
        <item x="0"/>
        <item x="3"/>
        <item x="1"/>
        <item t="default"/>
      </items>
    </pivotField>
    <pivotField compact="0" showAll="0"/>
    <pivotField compact="0" showAll="0"/>
    <pivotField compact="0" showAll="0"/>
    <pivotField dataField="1" compact="0" showAll="0"/>
  </pivotFields>
  <rowFields count="2">
    <field x="2"/>
    <field x="3"/>
  </rowFields>
  <rowItems count="19">
    <i>
      <x v="3"/>
    </i>
    <i r="1">
      <x v="3"/>
    </i>
    <i r="1">
      <x v="4"/>
    </i>
    <i>
      <x v="2"/>
    </i>
    <i r="1">
      <x/>
    </i>
    <i r="1">
      <x v="1"/>
    </i>
    <i r="1">
      <x v="2"/>
    </i>
    <i r="1">
      <x v="4"/>
    </i>
    <i>
      <x/>
    </i>
    <i r="1">
      <x/>
    </i>
    <i r="1">
      <x v="1"/>
    </i>
    <i r="1">
      <x v="2"/>
    </i>
    <i r="1">
      <x v="3"/>
    </i>
    <i>
      <x v="1"/>
    </i>
    <i r="1">
      <x/>
    </i>
    <i r="1">
      <x v="1"/>
    </i>
    <i r="1">
      <x v="2"/>
    </i>
    <i r="1">
      <x v="4"/>
    </i>
    <i t="grand">
      <x/>
    </i>
  </rowItems>
  <colItems count="1">
    <i/>
  </colItems>
  <dataFields count="1">
    <dataField name="Sum of Total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94D156-1136-4492-9D9F-8DEAB5641AC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G36" firstHeaderRow="1" firstDataRow="2" firstDataCol="1"/>
  <pivotFields count="8">
    <pivotField numFmtId="16" showAll="0"/>
    <pivotField showAll="0"/>
    <pivotField axis="axisRow" showAll="0">
      <items count="5">
        <item x="2"/>
        <item x="1"/>
        <item x="0"/>
        <item x="3"/>
        <item t="default"/>
      </items>
    </pivotField>
    <pivotField axis="axisCol" showAll="0">
      <items count="6">
        <item x="4"/>
        <item x="2"/>
        <item x="0"/>
        <item x="3"/>
        <item x="1"/>
        <item t="default"/>
      </items>
    </pivotField>
    <pivotField showAll="0"/>
    <pivotField showAll="0"/>
    <pivotField showAll="0"/>
    <pivotField dataField="1"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26328E-24F9-48FC-A024-6EBD3360C00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3" firstHeaderRow="1" firstDataRow="1" firstDataCol="1"/>
  <pivotFields count="8">
    <pivotField numFmtId="16" showAll="0"/>
    <pivotField axis="axisRow" showAll="0">
      <items count="5">
        <item x="2"/>
        <item x="1"/>
        <item x="0"/>
        <item x="3"/>
        <item t="default"/>
      </items>
    </pivotField>
    <pivotField showAll="0"/>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1FB369-533A-40A6-B5B7-8AE17ED4902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B91" firstHeaderRow="1" firstDataRow="1" firstDataCol="1"/>
  <pivotFields count="8">
    <pivotField axis="axisRow" numFmtId="16"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showAll="0"/>
    <pivotField dataField="1"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74B24C-50FC-4AAB-BAC6-68771192C95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numFmtId="16" showAll="0"/>
    <pivotField showAll="0"/>
    <pivotField axis="axisRow" showAll="0">
      <items count="5">
        <item x="2"/>
        <item x="1"/>
        <item x="0"/>
        <item x="3"/>
        <item t="default"/>
      </items>
    </pivotField>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CD2674-483C-4CA4-8B01-132769B209E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G7" firstHeaderRow="1" firstDataRow="1" firstDataCol="1"/>
  <pivotFields count="8">
    <pivotField numFmtId="16" showAll="0"/>
    <pivotField showAll="0"/>
    <pivotField showAll="0"/>
    <pivotField axis="axisRow" showAll="0">
      <items count="6">
        <item x="4"/>
        <item x="2"/>
        <item x="0"/>
        <item x="3"/>
        <item x="1"/>
        <item t="default"/>
      </items>
    </pivotField>
    <pivotField showAll="0"/>
    <pivotField dataField="1" showAll="0"/>
    <pivotField showAll="0"/>
    <pivotField showAll="0"/>
  </pivotFields>
  <rowFields count="1">
    <field x="3"/>
  </rowFields>
  <rowItems count="6">
    <i>
      <x/>
    </i>
    <i>
      <x v="1"/>
    </i>
    <i>
      <x v="2"/>
    </i>
    <i>
      <x v="3"/>
    </i>
    <i>
      <x v="4"/>
    </i>
    <i t="grand">
      <x/>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76166A-02B6-41EF-BFE2-68130A7A1EC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G50" firstHeaderRow="1" firstDataRow="2" firstDataCol="1"/>
  <pivotFields count="8">
    <pivotField numFmtId="16" showAll="0"/>
    <pivotField showAll="0"/>
    <pivotField axis="axisRow" showAll="0">
      <items count="5">
        <item x="2"/>
        <item x="1"/>
        <item x="0"/>
        <item x="3"/>
        <item t="default"/>
      </items>
    </pivotField>
    <pivotField axis="axisCol" showAll="0">
      <items count="6">
        <item x="4"/>
        <item x="2"/>
        <item x="0"/>
        <item x="3"/>
        <item x="1"/>
        <item t="default"/>
      </items>
    </pivotField>
    <pivotField showAll="0"/>
    <pivotField dataField="1"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CCCD27E-07BB-4BDA-8D35-155993BC7FA1}"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4:G156" firstHeaderRow="1" firstDataRow="1" firstDataCol="1"/>
  <pivotFields count="8">
    <pivotField numFmtId="16" showAll="0"/>
    <pivotField showAll="0">
      <items count="5">
        <item h="1" x="2"/>
        <item h="1" x="1"/>
        <item x="0"/>
        <item h="1" x="3"/>
        <item t="default"/>
      </items>
    </pivotField>
    <pivotField axis="axisRow" showAll="0">
      <items count="5">
        <item x="2"/>
        <item x="1"/>
        <item x="0"/>
        <item x="3"/>
        <item t="default"/>
      </items>
    </pivotField>
    <pivotField showAll="0"/>
    <pivotField showAll="0"/>
    <pivotField showAll="0"/>
    <pivotField showAll="0"/>
    <pivotField dataField="1" showAll="0"/>
  </pivotFields>
  <rowFields count="1">
    <field x="2"/>
  </rowFields>
  <rowItems count="2">
    <i>
      <x v="2"/>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AEC2CD9-FD9A-4AAB-A4A9-F5BC1B6EF6E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B28" firstHeaderRow="1" firstDataRow="1" firstDataCol="1"/>
  <pivotFields count="3">
    <pivotField axis="axisRow" showAll="0">
      <items count="5">
        <item h="1" x="2"/>
        <item h="1" x="1"/>
        <item x="0"/>
        <item h="1" x="3"/>
        <item t="default"/>
      </items>
    </pivotField>
    <pivotField showAll="0"/>
    <pivotField dataField="1" showAll="0"/>
  </pivotFields>
  <rowFields count="1">
    <field x="0"/>
  </rowFields>
  <rowItems count="2">
    <i>
      <x v="2"/>
    </i>
    <i t="grand">
      <x/>
    </i>
  </rowItems>
  <colItems count="1">
    <i/>
  </colItems>
  <dataFields count="1">
    <dataField name="Sum of Profit" fld="2"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AF857A4-D5C2-4BEE-89C4-452431D177D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14" firstHeaderRow="1" firstDataRow="1" firstDataCol="1"/>
  <pivotFields count="3">
    <pivotField axis="axisRow" showAll="0">
      <items count="5">
        <item h="1" x="2"/>
        <item h="1" x="1"/>
        <item x="0"/>
        <item h="1" x="3"/>
        <item t="default"/>
      </items>
    </pivotField>
    <pivotField dataField="1" showAll="0"/>
    <pivotField showAll="0"/>
  </pivotFields>
  <rowFields count="1">
    <field x="0"/>
  </rowFields>
  <rowItems count="2">
    <i>
      <x v="2"/>
    </i>
    <i t="grand">
      <x/>
    </i>
  </rowItems>
  <colItems count="1">
    <i/>
  </colItems>
  <dataFields count="1">
    <dataField name="Sum of Sales"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6E5FE4E-A50E-4615-BCF4-B701679804FB}"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51:B58" firstHeaderRow="1" firstDataRow="1" firstDataCol="1"/>
  <pivotFields count="6">
    <pivotField axis="axisRow" showAll="0">
      <items count="7">
        <item x="0"/>
        <item x="1"/>
        <item x="2"/>
        <item x="3"/>
        <item x="4"/>
        <item x="5"/>
        <item t="default"/>
      </items>
    </pivotField>
    <pivotField showAll="0"/>
    <pivotField showAll="0">
      <items count="6">
        <item x="4"/>
        <item x="2"/>
        <item x="0"/>
        <item x="1"/>
        <item x="3"/>
        <item t="default"/>
      </items>
    </pivotField>
    <pivotField showAll="0"/>
    <pivotField numFmtId="164" showAll="0"/>
    <pivotField dataField="1" numFmtId="164" showAll="0">
      <items count="13">
        <item x="8"/>
        <item x="7"/>
        <item x="3"/>
        <item x="2"/>
        <item x="9"/>
        <item x="6"/>
        <item x="11"/>
        <item x="4"/>
        <item x="1"/>
        <item x="5"/>
        <item x="0"/>
        <item x="10"/>
        <item t="default"/>
      </items>
    </pivotField>
  </pivotFields>
  <rowFields count="1">
    <field x="0"/>
  </rowFields>
  <rowItems count="7">
    <i>
      <x/>
    </i>
    <i>
      <x v="1"/>
    </i>
    <i>
      <x v="2"/>
    </i>
    <i>
      <x v="3"/>
    </i>
    <i>
      <x v="4"/>
    </i>
    <i>
      <x v="5"/>
    </i>
    <i t="grand">
      <x/>
    </i>
  </rowItems>
  <colItems count="1">
    <i/>
  </colItems>
  <dataFields count="1">
    <dataField name="Sum of Profit" fld="5" baseField="0" baseItem="0" numFmtId="164"/>
  </dataFields>
  <chartFormats count="2">
    <chartFormat chart="41" format="3"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4EEB5B5-78F2-4DDF-8B1F-480B5CD3023E}" name="PivotTable4"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A35:B41" firstHeaderRow="1" firstDataRow="1" firstDataCol="1"/>
  <pivotFields count="6">
    <pivotField showAll="0"/>
    <pivotField showAll="0"/>
    <pivotField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dataField="1" showAll="0">
      <items count="12">
        <item x="5"/>
        <item x="0"/>
        <item x="9"/>
        <item x="4"/>
        <item x="10"/>
        <item x="1"/>
        <item x="6"/>
        <item x="7"/>
        <item x="2"/>
        <item x="8"/>
        <item x="3"/>
        <item t="default"/>
      </items>
    </pivotField>
    <pivotField numFmtId="164" showAll="0"/>
    <pivotField numFmtId="164" showAll="0"/>
  </pivotFields>
  <rowFields count="1">
    <field x="2"/>
  </rowFields>
  <rowItems count="6">
    <i>
      <x v="4"/>
    </i>
    <i>
      <x v="1"/>
    </i>
    <i>
      <x v="3"/>
    </i>
    <i>
      <x/>
    </i>
    <i>
      <x v="2"/>
    </i>
    <i t="grand">
      <x/>
    </i>
  </rowItems>
  <colItems count="1">
    <i/>
  </colItems>
  <dataFields count="1">
    <dataField name="Sum of Units Sold" fld="3"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4B931C2-2476-4ADF-8B0A-9CDA6CED7C33}" name="PivotTable3" cacheId="16"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chartFormat="17">
  <location ref="A12:B29" firstHeaderRow="1" firstDataRow="1" firstDataCol="1"/>
  <pivotFields count="6">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axis="axisRow" showAll="0">
      <items count="6">
        <item x="4"/>
        <item x="2"/>
        <item x="0"/>
        <item x="1"/>
        <item x="3"/>
        <item t="default"/>
      </items>
    </pivotField>
    <pivotField showAll="0"/>
    <pivotField dataField="1" numFmtId="164" showAll="0"/>
    <pivotField numFmtId="164" showAll="0"/>
  </pivotFields>
  <rowFields count="2">
    <field x="1"/>
    <field x="2"/>
  </rowFields>
  <rowItems count="17">
    <i>
      <x v="2"/>
    </i>
    <i r="1">
      <x v="2"/>
    </i>
    <i r="1">
      <x v="3"/>
    </i>
    <i r="1">
      <x v="4"/>
    </i>
    <i>
      <x v="1"/>
    </i>
    <i r="1">
      <x/>
    </i>
    <i r="1">
      <x v="2"/>
    </i>
    <i r="1">
      <x v="3"/>
    </i>
    <i>
      <x/>
    </i>
    <i r="1">
      <x/>
    </i>
    <i r="1">
      <x v="1"/>
    </i>
    <i r="1">
      <x v="2"/>
    </i>
    <i>
      <x v="3"/>
    </i>
    <i r="1">
      <x v="1"/>
    </i>
    <i r="1">
      <x v="3"/>
    </i>
    <i r="1">
      <x v="4"/>
    </i>
    <i t="grand">
      <x/>
    </i>
  </rowItems>
  <colItems count="1">
    <i/>
  </colItems>
  <dataFields count="1">
    <dataField name="Sum of Sales" fld="4" baseField="0" baseItem="0" numFmtId="164"/>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7A27E1-B55F-4BA4-8714-E29E130DFA9C}" sourceName="Category">
  <pivotTables>
    <pivotTable tabId="3" name="PivotTable17"/>
  </pivotTables>
  <data>
    <tabular pivotCacheId="331819291">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4E7910-D4BA-44CE-9ABE-1BDFC1F24D4D}" sourceName="Region">
  <pivotTables>
    <pivotTable tabId="3" name="PivotTable17"/>
  </pivotTables>
  <data>
    <tabular pivotCacheId="331819291">
      <items count="4">
        <i x="2"/>
        <i x="1" s="1"/>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BB697B-055A-4F93-BC4C-0EB9D98F1C63}" sourceName="Product">
  <pivotTables>
    <pivotTable tabId="3" name="PivotTable18"/>
  </pivotTables>
  <data>
    <tabular pivotCacheId="331819291">
      <items count="5">
        <i x="4"/>
        <i x="2"/>
        <i x="0"/>
        <i x="3"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2FA64E0-5149-4E52-B805-D2D09DA250FB}" sourceName="Salesperson">
  <pivotTables>
    <pivotTable tabId="3" name="PivotTable19"/>
  </pivotTables>
  <data>
    <tabular pivotCacheId="331819291">
      <items count="4">
        <i x="2"/>
        <i x="1"/>
        <i x="0" s="1"/>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1AA6547-CD9C-46E4-97DD-35E1B81E0D53}" sourceName="Region">
  <pivotTables>
    <pivotTable tabId="5" name="PivotTable1"/>
    <pivotTable tabId="5" name="PivotTable2"/>
  </pivotTables>
  <data>
    <tabular pivotCacheId="714313696">
      <items count="4">
        <i x="2"/>
        <i x="1"/>
        <i x="0"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1DD7F25F-0E26-4B32-A1DF-BD2425A7CB00}" sourceName="Product">
  <pivotTables>
    <pivotTable tabId="7" name="PivotTable3"/>
    <pivotTable tabId="7" name="PivotTable4"/>
    <pivotTable tabId="7" name="PivotTable5"/>
  </pivotTables>
  <data>
    <tabular pivotCacheId="13655754">
      <items count="5">
        <i x="4" s="1"/>
        <i x="2" s="1"/>
        <i x="0"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7646C425-3BF2-4DAC-8E69-A5270F9FCB34}" sourceName="Region">
  <pivotTables>
    <pivotTable tabId="7" name="PivotTable3"/>
  </pivotTables>
  <data>
    <tabular pivotCacheId="1365575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861DE1D-206E-4E1A-B4CC-71331A6E9CF8}" cache="Slicer_Category" caption="Category" rowHeight="234950"/>
  <slicer name="Region" xr10:uid="{E3C648CB-DA22-4D7E-A124-42C69C44C5B0}" cache="Slicer_Region" caption="Region" rowHeight="234950"/>
  <slicer name="Product" xr10:uid="{3900D615-0671-4E90-BED0-331DA418AADE}" cache="Slicer_Product" caption="Product" rowHeight="234950"/>
  <slicer name="Salesperson" xr10:uid="{E5A03C29-E6C5-47E9-8194-77F8A643537B}"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C69561A-D559-401A-A0CE-E13FA1691CEE}" cache="Slicer_Region1" caption="Region"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295D55C1-C1E8-451B-A411-822148EF643D}" cache="Slicer_Product2" caption="Product" style="SlicerStyleDark1" rowHeight="234950"/>
  <slicer name="Product 1" xr10:uid="{D6780689-3EFE-4F87-B364-D051151512A9}" cache="Slicer_Product2" caption="Product" rowHeight="234950"/>
  <slicer name="Region 2" xr10:uid="{0FD4AF2E-256E-4F32-A804-50DB01CF2A46}" cache="Slicer_Region2" caption="Region" style="SlicerStyleOther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614F69EB-27B8-479E-A2E9-2202B937F677}" cache="Slicer_Product2" caption="Product" style="SlicerStyleDark5" rowHeight="234950"/>
  <slicer name="Product 4" xr10:uid="{D7848EA9-3ECE-49A6-B4CF-C8347991A6D9}" cache="Slicer_Product2" caption="Product" style="SlicerStyleLight2" rowHeight="234950"/>
  <slicer name="Region 3" xr10:uid="{FD5997AE-49B4-44D4-82EF-C43A27F4B690}" cache="Slicer_Region2" caption="Region"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614F90-0726-47D5-BEA9-FC2302517521}" name="Table3" displayName="Table3" ref="H310:K319" totalsRowShown="0" headerRowDxfId="41" dataDxfId="40" tableBorderDxfId="39">
  <autoFilter ref="H310:K319" xr:uid="{B6614F90-0726-47D5-BEA9-FC2302517521}"/>
  <tableColumns count="4">
    <tableColumn id="2" xr3:uid="{62E87835-EB6B-4945-8D56-59AB0EE78467}" name="Name" dataDxfId="38"/>
    <tableColumn id="3" xr3:uid="{B6D58D59-9693-45A5-AF7A-A78930823A4B}" name="Region" dataDxfId="37"/>
    <tableColumn id="4" xr3:uid="{F3A87487-BA15-4493-9860-2E667B295360}" name="Product" dataDxfId="36"/>
    <tableColumn id="5" xr3:uid="{16093595-1DBD-463B-8EA7-E981161CFA3B}" name="Price"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540C3E-3456-4DE1-A094-F5C98815D92F}" name="Table4" displayName="Table4" ref="G336:H340" totalsRowShown="0" headerRowDxfId="34" dataDxfId="33">
  <autoFilter ref="G336:H340" xr:uid="{36540C3E-3456-4DE1-A094-F5C98815D92F}"/>
  <tableColumns count="2">
    <tableColumn id="1" xr3:uid="{AACD1B04-7B46-4FB4-BEB1-4E90FAB0B624}" name="Region" dataDxfId="32"/>
    <tableColumn id="2" xr3:uid="{CB04B210-3CAE-437B-8FF9-8E5E5BE099F3}" name="Sales"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B51082-1B2F-4E6E-9B14-86FEDF48B2DB}" name="Table5" displayName="Table5" ref="G346:I351" totalsRowShown="0" headerRowDxfId="30" dataDxfId="29">
  <autoFilter ref="G346:I351" xr:uid="{28B51082-1B2F-4E6E-9B14-86FEDF48B2DB}"/>
  <tableColumns count="3">
    <tableColumn id="1" xr3:uid="{CD310072-2EBA-4812-844F-C52D2B8D7DF8}" name="Product" dataDxfId="28"/>
    <tableColumn id="2" xr3:uid="{0AFED0ED-0C9C-4E74-AC76-DAF1A4B8BAE6}" name="Units Sold" dataDxfId="27"/>
    <tableColumn id="5" xr3:uid="{77272538-83D4-4AC8-99DD-CC68A2C8D4FC}" name="* labels don’t fit properly"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824D8C-601D-4E45-9DCB-DBCACD206E22}" name="Table6" displayName="Table6" ref="G368:H372" totalsRowShown="0" headerRowDxfId="25" dataDxfId="24">
  <autoFilter ref="G368:H372" xr:uid="{73824D8C-601D-4E45-9DCB-DBCACD206E22}"/>
  <tableColumns count="2">
    <tableColumn id="1" xr3:uid="{9A2C9224-9D55-495C-BD08-44EFD9708C11}" name="Category" dataDxfId="23"/>
    <tableColumn id="2" xr3:uid="{B9409FFF-230B-4ACE-9134-8552EE2B2D2E}" name="Sales"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28BBFE8-D28A-4EC1-AAD6-20242EC0FBD5}" name="Table7" displayName="Table7" ref="G383:H389" totalsRowShown="0" headerRowDxfId="21" dataDxfId="20">
  <autoFilter ref="G383:H389" xr:uid="{628BBFE8-D28A-4EC1-AAD6-20242EC0FBD5}"/>
  <tableColumns count="2">
    <tableColumn id="1" xr3:uid="{7EB7D914-22FF-4099-9D2A-5B1A4FD7913E}" name="Month" dataDxfId="19"/>
    <tableColumn id="2" xr3:uid="{B8DCAD70-94AB-4223-BBA3-34BF5853F028}" name="Sales" dataDxfId="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A32BFC-6F97-4F76-A458-BF1F2B870F18}" name="Table8" displayName="Table8" ref="D395:F401" totalsRowShown="0" headerRowDxfId="17" dataDxfId="16">
  <autoFilter ref="D395:F401" xr:uid="{77A32BFC-6F97-4F76-A458-BF1F2B870F18}"/>
  <tableColumns count="3">
    <tableColumn id="1" xr3:uid="{8ADF3BBE-ADD5-4321-9DBD-497B73BBF442}" name="Month" dataDxfId="15"/>
    <tableColumn id="2" xr3:uid="{50E5D4B9-3776-4EB3-BE3A-01A96C87668E}" name="Sales" dataDxfId="14"/>
    <tableColumn id="3" xr3:uid="{CF516201-6FA8-4F8F-9D88-55B115567C3F}" name="Profit" dataDxfId="1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960032-BB65-41F5-A24F-F8A592ACEB37}" name="Table2" displayName="Table2" ref="C20:E24" totalsRowShown="0" headerRowDxfId="8" dataDxfId="9">
  <autoFilter ref="C20:E24" xr:uid="{39960032-BB65-41F5-A24F-F8A592ACEB37}"/>
  <tableColumns count="3">
    <tableColumn id="1" xr3:uid="{13E9F64B-6FC7-44E8-948E-E1E64DBDD492}" name="Region" dataDxfId="12"/>
    <tableColumn id="2" xr3:uid="{3436C5AA-452D-43A0-9D3C-A56DAFA6FA3B}" name="Sales" dataDxfId="11"/>
    <tableColumn id="3" xr3:uid="{4B653529-4D31-4736-8D4F-184742962325}" name="Profit" dataDxfId="1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98F8BE0-21C9-48CB-A854-108C947B2B55}" name="Table9" displayName="Table9" ref="A3:F15" totalsRowShown="0" headerRowDxfId="3" dataDxfId="4">
  <autoFilter ref="A3:F15" xr:uid="{F98F8BE0-21C9-48CB-A854-108C947B2B55}"/>
  <tableColumns count="6">
    <tableColumn id="1" xr3:uid="{6EA24F5B-F491-444F-B6E0-47324307A98B}" name="Month" dataDxfId="7"/>
    <tableColumn id="2" xr3:uid="{7F066B27-C07E-4C09-BEB1-65C0CBF97C81}" name="Region" dataDxfId="6"/>
    <tableColumn id="3" xr3:uid="{4A6888C1-E9C1-4F37-9004-366C20185605}" name="Product" dataDxfId="5"/>
    <tableColumn id="4" xr3:uid="{CDA2B6B1-8DC9-42D8-81A2-D95E8B65C99D}" name="Units Sold" dataDxfId="2"/>
    <tableColumn id="5" xr3:uid="{4C9DFCC9-94A4-4635-82B7-20DBAD8B7EF2}" name="Sales" dataDxfId="0"/>
    <tableColumn id="6" xr3:uid="{8EF299D3-89AC-478F-B09B-2444F4A37638}" name="Profi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table" Target="../tables/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6.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5.xml"/><Relationship Id="rId10" Type="http://schemas.openxmlformats.org/officeDocument/2006/relationships/pivotTable" Target="../pivotTables/pivotTable10.xml"/><Relationship Id="rId19"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5" Type="http://schemas.microsoft.com/office/2007/relationships/slicer" Target="../slicers/slicer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90FF3-0014-4E8F-ABDF-2738C6261947}">
  <dimension ref="A1:O415"/>
  <sheetViews>
    <sheetView topLeftCell="D391" zoomScale="109" workbookViewId="0">
      <selection activeCell="G284" sqref="G284"/>
    </sheetView>
  </sheetViews>
  <sheetFormatPr defaultRowHeight="14.4"/>
  <cols>
    <col min="1" max="1" width="13.33203125" bestFit="1" customWidth="1"/>
    <col min="2" max="2" width="16.5546875" bestFit="1" customWidth="1"/>
    <col min="3" max="3" width="9.33203125" bestFit="1" customWidth="1"/>
    <col min="4" max="4" width="8.44140625" customWidth="1"/>
    <col min="5" max="5" width="6.88671875" bestFit="1" customWidth="1"/>
    <col min="6" max="6" width="15.109375" bestFit="1" customWidth="1"/>
    <col min="7" max="7" width="26.21875" customWidth="1"/>
    <col min="8" max="8" width="19.33203125" customWidth="1"/>
    <col min="9" max="9" width="16" bestFit="1" customWidth="1"/>
    <col min="10" max="11" width="15.44140625" customWidth="1"/>
    <col min="12" max="12" width="16.44140625" bestFit="1" customWidth="1"/>
  </cols>
  <sheetData>
    <row r="1" spans="1:12" ht="23.4">
      <c r="A1" s="3" t="s">
        <v>23</v>
      </c>
      <c r="B1" s="4"/>
      <c r="C1" s="4"/>
      <c r="D1" s="4"/>
      <c r="F1" s="5" t="s">
        <v>20</v>
      </c>
      <c r="G1" t="s">
        <v>25</v>
      </c>
      <c r="I1" s="3" t="s">
        <v>24</v>
      </c>
      <c r="J1" s="3"/>
      <c r="K1" s="3"/>
      <c r="L1" s="4"/>
    </row>
    <row r="2" spans="1:12">
      <c r="F2" s="6" t="s">
        <v>19</v>
      </c>
      <c r="G2">
        <v>21</v>
      </c>
    </row>
    <row r="3" spans="1:12">
      <c r="A3" s="5" t="s">
        <v>20</v>
      </c>
      <c r="B3" t="s">
        <v>22</v>
      </c>
      <c r="F3" s="6" t="s">
        <v>15</v>
      </c>
      <c r="G3">
        <v>12</v>
      </c>
    </row>
    <row r="4" spans="1:12">
      <c r="A4" s="6" t="s">
        <v>14</v>
      </c>
      <c r="B4">
        <v>104200</v>
      </c>
      <c r="F4" s="6" t="s">
        <v>7</v>
      </c>
      <c r="G4">
        <v>4</v>
      </c>
    </row>
    <row r="5" spans="1:12">
      <c r="A5" s="6" t="s">
        <v>10</v>
      </c>
      <c r="B5">
        <v>70500</v>
      </c>
      <c r="F5" s="6" t="s">
        <v>18</v>
      </c>
      <c r="G5">
        <v>9</v>
      </c>
    </row>
    <row r="6" spans="1:12">
      <c r="A6" s="6" t="s">
        <v>6</v>
      </c>
      <c r="B6">
        <v>122900</v>
      </c>
      <c r="F6" s="6" t="s">
        <v>11</v>
      </c>
      <c r="G6">
        <v>45</v>
      </c>
    </row>
    <row r="7" spans="1:12">
      <c r="A7" s="6" t="s">
        <v>17</v>
      </c>
      <c r="B7">
        <v>150750</v>
      </c>
      <c r="F7" s="6" t="s">
        <v>21</v>
      </c>
      <c r="G7">
        <v>91</v>
      </c>
    </row>
    <row r="8" spans="1:12">
      <c r="A8" s="6" t="s">
        <v>21</v>
      </c>
      <c r="B8">
        <v>448350</v>
      </c>
    </row>
    <row r="16" spans="1:12" ht="23.4">
      <c r="A16" s="3" t="s">
        <v>26</v>
      </c>
      <c r="B16" s="3"/>
      <c r="C16" s="4"/>
      <c r="D16" s="4"/>
      <c r="F16" s="3" t="s">
        <v>27</v>
      </c>
      <c r="G16" s="3"/>
      <c r="H16" s="4"/>
    </row>
    <row r="18" spans="1:7">
      <c r="A18" s="5" t="s">
        <v>20</v>
      </c>
      <c r="B18" t="s">
        <v>22</v>
      </c>
      <c r="F18" s="5" t="s">
        <v>20</v>
      </c>
      <c r="G18" t="s">
        <v>22</v>
      </c>
    </row>
    <row r="19" spans="1:7">
      <c r="A19" s="6" t="s">
        <v>13</v>
      </c>
      <c r="B19">
        <v>104200</v>
      </c>
      <c r="F19" s="6" t="s">
        <v>12</v>
      </c>
      <c r="G19">
        <v>65350</v>
      </c>
    </row>
    <row r="20" spans="1:7">
      <c r="A20" s="6" t="s">
        <v>9</v>
      </c>
      <c r="B20">
        <v>70500</v>
      </c>
      <c r="F20" s="6" t="s">
        <v>8</v>
      </c>
      <c r="G20">
        <v>383000</v>
      </c>
    </row>
    <row r="21" spans="1:7">
      <c r="A21" s="6" t="s">
        <v>5</v>
      </c>
      <c r="B21">
        <v>122900</v>
      </c>
      <c r="F21" s="6" t="s">
        <v>21</v>
      </c>
      <c r="G21">
        <v>448350</v>
      </c>
    </row>
    <row r="22" spans="1:7">
      <c r="A22" s="6" t="s">
        <v>16</v>
      </c>
      <c r="B22">
        <v>150750</v>
      </c>
    </row>
    <row r="23" spans="1:7">
      <c r="A23" s="6" t="s">
        <v>21</v>
      </c>
      <c r="B23">
        <v>448350</v>
      </c>
    </row>
    <row r="28" spans="1:7" ht="23.4">
      <c r="A28" s="3" t="s">
        <v>28</v>
      </c>
      <c r="B28" s="3"/>
      <c r="C28" s="4"/>
    </row>
    <row r="30" spans="1:7">
      <c r="A30" s="5" t="s">
        <v>22</v>
      </c>
      <c r="B30" s="5" t="s">
        <v>29</v>
      </c>
    </row>
    <row r="31" spans="1:7">
      <c r="A31" s="5" t="s">
        <v>20</v>
      </c>
      <c r="B31" t="s">
        <v>19</v>
      </c>
      <c r="C31" t="s">
        <v>15</v>
      </c>
      <c r="D31" t="s">
        <v>7</v>
      </c>
      <c r="E31" t="s">
        <v>18</v>
      </c>
      <c r="F31" t="s">
        <v>11</v>
      </c>
      <c r="G31" t="s">
        <v>21</v>
      </c>
    </row>
    <row r="32" spans="1:7">
      <c r="A32" s="6" t="s">
        <v>14</v>
      </c>
      <c r="B32">
        <v>11200</v>
      </c>
      <c r="C32">
        <v>6000</v>
      </c>
      <c r="D32">
        <v>51000</v>
      </c>
      <c r="E32">
        <v>36000</v>
      </c>
      <c r="G32">
        <v>104200</v>
      </c>
    </row>
    <row r="33" spans="1:7">
      <c r="A33" s="6" t="s">
        <v>10</v>
      </c>
      <c r="B33">
        <v>9600</v>
      </c>
      <c r="C33">
        <v>3900</v>
      </c>
      <c r="D33">
        <v>52000</v>
      </c>
      <c r="F33">
        <v>5000</v>
      </c>
      <c r="G33">
        <v>70500</v>
      </c>
    </row>
    <row r="34" spans="1:7">
      <c r="A34" s="6" t="s">
        <v>6</v>
      </c>
      <c r="B34">
        <v>10500</v>
      </c>
      <c r="C34">
        <v>4400</v>
      </c>
      <c r="D34">
        <v>100000</v>
      </c>
      <c r="F34">
        <v>8000</v>
      </c>
      <c r="G34">
        <v>122900</v>
      </c>
    </row>
    <row r="35" spans="1:7">
      <c r="A35" s="6" t="s">
        <v>17</v>
      </c>
      <c r="E35">
        <v>144000</v>
      </c>
      <c r="F35">
        <v>6750</v>
      </c>
      <c r="G35">
        <v>150750</v>
      </c>
    </row>
    <row r="36" spans="1:7">
      <c r="A36" s="6" t="s">
        <v>21</v>
      </c>
      <c r="B36">
        <v>31300</v>
      </c>
      <c r="C36">
        <v>14300</v>
      </c>
      <c r="D36">
        <v>203000</v>
      </c>
      <c r="E36">
        <v>180000</v>
      </c>
      <c r="F36">
        <v>19750</v>
      </c>
      <c r="G36">
        <v>448350</v>
      </c>
    </row>
    <row r="43" spans="1:7" ht="23.4">
      <c r="A43" s="3" t="s">
        <v>31</v>
      </c>
      <c r="B43" s="3" t="s">
        <v>30</v>
      </c>
      <c r="C43" s="4"/>
    </row>
    <row r="44" spans="1:7">
      <c r="A44" s="5" t="s">
        <v>25</v>
      </c>
      <c r="B44" s="5" t="s">
        <v>29</v>
      </c>
    </row>
    <row r="45" spans="1:7">
      <c r="A45" s="5" t="s">
        <v>20</v>
      </c>
      <c r="B45" t="s">
        <v>19</v>
      </c>
      <c r="C45" t="s">
        <v>15</v>
      </c>
      <c r="D45" t="s">
        <v>7</v>
      </c>
      <c r="E45" t="s">
        <v>18</v>
      </c>
      <c r="F45" t="s">
        <v>11</v>
      </c>
      <c r="G45" t="s">
        <v>21</v>
      </c>
    </row>
    <row r="46" spans="1:7">
      <c r="A46" s="6" t="s">
        <v>14</v>
      </c>
      <c r="B46">
        <v>8</v>
      </c>
      <c r="C46">
        <v>5</v>
      </c>
      <c r="D46">
        <v>1</v>
      </c>
      <c r="E46">
        <v>2</v>
      </c>
      <c r="G46">
        <v>16</v>
      </c>
    </row>
    <row r="47" spans="1:7">
      <c r="A47" s="6" t="s">
        <v>10</v>
      </c>
      <c r="B47">
        <v>6</v>
      </c>
      <c r="C47">
        <v>3</v>
      </c>
      <c r="D47">
        <v>1</v>
      </c>
      <c r="F47">
        <v>10</v>
      </c>
      <c r="G47">
        <v>20</v>
      </c>
    </row>
    <row r="48" spans="1:7">
      <c r="A48" s="6" t="s">
        <v>6</v>
      </c>
      <c r="B48">
        <v>7</v>
      </c>
      <c r="C48">
        <v>4</v>
      </c>
      <c r="D48">
        <v>2</v>
      </c>
      <c r="F48">
        <v>20</v>
      </c>
      <c r="G48">
        <v>33</v>
      </c>
    </row>
    <row r="49" spans="1:15">
      <c r="A49" s="6" t="s">
        <v>17</v>
      </c>
      <c r="E49">
        <v>7</v>
      </c>
      <c r="F49">
        <v>15</v>
      </c>
      <c r="G49">
        <v>22</v>
      </c>
    </row>
    <row r="50" spans="1:15">
      <c r="A50" s="6" t="s">
        <v>21</v>
      </c>
      <c r="B50">
        <v>21</v>
      </c>
      <c r="C50">
        <v>12</v>
      </c>
      <c r="D50">
        <v>4</v>
      </c>
      <c r="E50">
        <v>9</v>
      </c>
      <c r="F50">
        <v>45</v>
      </c>
      <c r="G50">
        <v>91</v>
      </c>
    </row>
    <row r="56" spans="1:15" ht="23.4">
      <c r="A56" s="3" t="s">
        <v>32</v>
      </c>
      <c r="B56" s="3"/>
      <c r="C56" s="4"/>
      <c r="D56" s="4"/>
      <c r="K56" s="3" t="s">
        <v>34</v>
      </c>
      <c r="L56" s="3"/>
      <c r="M56" s="3"/>
      <c r="N56" s="4"/>
      <c r="O56" s="4"/>
    </row>
    <row r="57" spans="1:15">
      <c r="A57" s="5" t="s">
        <v>20</v>
      </c>
      <c r="B57" t="s">
        <v>33</v>
      </c>
      <c r="K57" s="5" t="s">
        <v>20</v>
      </c>
      <c r="L57" t="s">
        <v>35</v>
      </c>
    </row>
    <row r="58" spans="1:15">
      <c r="A58" s="6" t="s">
        <v>12</v>
      </c>
      <c r="B58">
        <v>1050</v>
      </c>
      <c r="K58" s="6" t="s">
        <v>14</v>
      </c>
      <c r="L58">
        <v>51000</v>
      </c>
    </row>
    <row r="59" spans="1:15">
      <c r="A59" s="6" t="s">
        <v>8</v>
      </c>
      <c r="B59">
        <v>35333.333333333336</v>
      </c>
      <c r="K59" s="6" t="s">
        <v>10</v>
      </c>
      <c r="L59">
        <v>52000</v>
      </c>
    </row>
    <row r="60" spans="1:15">
      <c r="A60" s="6" t="s">
        <v>21</v>
      </c>
      <c r="B60">
        <v>14763.333333333334</v>
      </c>
      <c r="K60" s="6" t="s">
        <v>6</v>
      </c>
      <c r="L60">
        <v>100000</v>
      </c>
    </row>
    <row r="61" spans="1:15">
      <c r="K61" s="6" t="s">
        <v>17</v>
      </c>
      <c r="L61">
        <v>84000</v>
      </c>
    </row>
    <row r="62" spans="1:15">
      <c r="K62" s="6" t="s">
        <v>21</v>
      </c>
      <c r="L62">
        <v>100000</v>
      </c>
    </row>
    <row r="64" spans="1:15">
      <c r="A64" s="5" t="s">
        <v>0</v>
      </c>
      <c r="B64" t="s">
        <v>6</v>
      </c>
    </row>
    <row r="65" spans="1:10">
      <c r="A65" s="5" t="s">
        <v>1</v>
      </c>
      <c r="B65" t="s">
        <v>37</v>
      </c>
    </row>
    <row r="66" spans="1:10" ht="23.4">
      <c r="A66" s="3" t="s">
        <v>36</v>
      </c>
      <c r="B66" s="3"/>
      <c r="C66" s="4"/>
      <c r="D66" s="4"/>
      <c r="E66" s="4"/>
    </row>
    <row r="67" spans="1:10">
      <c r="A67" t="s">
        <v>22</v>
      </c>
    </row>
    <row r="68" spans="1:10">
      <c r="A68">
        <v>122900</v>
      </c>
    </row>
    <row r="72" spans="1:10" ht="23.4">
      <c r="G72" s="8" t="s">
        <v>39</v>
      </c>
      <c r="H72" s="8"/>
      <c r="I72" s="8"/>
      <c r="J72" s="8"/>
    </row>
    <row r="74" spans="1:10" ht="23.4">
      <c r="A74" s="3" t="s">
        <v>38</v>
      </c>
      <c r="H74" s="5" t="s">
        <v>20</v>
      </c>
      <c r="I74" t="s">
        <v>22</v>
      </c>
    </row>
    <row r="75" spans="1:10">
      <c r="A75" s="5" t="s">
        <v>20</v>
      </c>
      <c r="B75" t="s">
        <v>22</v>
      </c>
      <c r="H75" s="6" t="s">
        <v>7</v>
      </c>
      <c r="I75">
        <v>203000</v>
      </c>
    </row>
    <row r="76" spans="1:10">
      <c r="A76" s="7">
        <v>46023</v>
      </c>
      <c r="B76">
        <v>100000</v>
      </c>
      <c r="H76" s="6" t="s">
        <v>18</v>
      </c>
      <c r="I76">
        <v>180000</v>
      </c>
    </row>
    <row r="77" spans="1:10">
      <c r="A77" s="7">
        <v>46024</v>
      </c>
      <c r="B77">
        <v>5000</v>
      </c>
      <c r="H77" s="6" t="s">
        <v>19</v>
      </c>
      <c r="I77">
        <v>31300</v>
      </c>
    </row>
    <row r="78" spans="1:10">
      <c r="A78" s="7">
        <v>46025</v>
      </c>
      <c r="B78">
        <v>6000</v>
      </c>
      <c r="H78" s="6" t="s">
        <v>11</v>
      </c>
      <c r="I78">
        <v>19750</v>
      </c>
    </row>
    <row r="79" spans="1:10">
      <c r="A79" s="7">
        <v>46026</v>
      </c>
      <c r="B79">
        <v>60000</v>
      </c>
      <c r="H79" s="6" t="s">
        <v>15</v>
      </c>
      <c r="I79">
        <v>14300</v>
      </c>
    </row>
    <row r="80" spans="1:10">
      <c r="A80" s="7">
        <v>46027</v>
      </c>
      <c r="B80">
        <v>10500</v>
      </c>
      <c r="H80" s="6" t="s">
        <v>21</v>
      </c>
      <c r="I80">
        <v>448350</v>
      </c>
    </row>
    <row r="81" spans="1:13">
      <c r="A81" s="7">
        <v>46028</v>
      </c>
      <c r="B81">
        <v>52000</v>
      </c>
    </row>
    <row r="82" spans="1:13">
      <c r="A82" s="7">
        <v>46029</v>
      </c>
      <c r="B82">
        <v>36000</v>
      </c>
    </row>
    <row r="83" spans="1:13">
      <c r="A83" s="7">
        <v>46030</v>
      </c>
      <c r="B83">
        <v>6750</v>
      </c>
    </row>
    <row r="84" spans="1:13" ht="21">
      <c r="A84" s="7">
        <v>46031</v>
      </c>
      <c r="B84">
        <v>4400</v>
      </c>
      <c r="G84" s="10" t="s">
        <v>40</v>
      </c>
      <c r="H84" s="10"/>
      <c r="I84" s="10"/>
    </row>
    <row r="85" spans="1:13">
      <c r="A85" s="7">
        <v>46032</v>
      </c>
      <c r="B85">
        <v>9600</v>
      </c>
    </row>
    <row r="86" spans="1:13" ht="18">
      <c r="A86" s="7">
        <v>46033</v>
      </c>
      <c r="B86">
        <v>51000</v>
      </c>
      <c r="H86" s="5" t="s">
        <v>20</v>
      </c>
      <c r="I86" t="s">
        <v>22</v>
      </c>
      <c r="J86" s="11" t="s">
        <v>40</v>
      </c>
      <c r="K86" s="11"/>
      <c r="L86" s="11"/>
    </row>
    <row r="87" spans="1:13">
      <c r="A87" s="7">
        <v>46034</v>
      </c>
      <c r="B87">
        <v>84000</v>
      </c>
      <c r="H87" s="6" t="s">
        <v>16</v>
      </c>
      <c r="I87">
        <v>150750</v>
      </c>
      <c r="K87" s="12" t="s">
        <v>41</v>
      </c>
      <c r="L87" s="12"/>
    </row>
    <row r="88" spans="1:13">
      <c r="A88" s="7">
        <v>46035</v>
      </c>
      <c r="B88">
        <v>8000</v>
      </c>
      <c r="H88" s="6" t="s">
        <v>5</v>
      </c>
      <c r="I88">
        <v>122900</v>
      </c>
    </row>
    <row r="89" spans="1:13">
      <c r="A89" s="7">
        <v>46036</v>
      </c>
      <c r="B89">
        <v>3900</v>
      </c>
      <c r="H89" s="6" t="s">
        <v>13</v>
      </c>
      <c r="I89">
        <v>104200</v>
      </c>
    </row>
    <row r="90" spans="1:13">
      <c r="A90" s="7">
        <v>46037</v>
      </c>
      <c r="B90">
        <v>11200</v>
      </c>
      <c r="H90" s="6" t="s">
        <v>9</v>
      </c>
      <c r="I90">
        <v>70500</v>
      </c>
    </row>
    <row r="91" spans="1:13">
      <c r="A91" s="7" t="s">
        <v>21</v>
      </c>
      <c r="B91">
        <v>448350</v>
      </c>
      <c r="H91" s="6" t="s">
        <v>21</v>
      </c>
      <c r="I91">
        <v>448350</v>
      </c>
    </row>
    <row r="94" spans="1:13" ht="21">
      <c r="G94" s="10" t="s">
        <v>42</v>
      </c>
      <c r="H94" s="10"/>
      <c r="I94" s="10"/>
    </row>
    <row r="95" spans="1:13" ht="21">
      <c r="J95" s="9" t="s">
        <v>43</v>
      </c>
      <c r="K95" s="9"/>
      <c r="L95" s="9"/>
      <c r="M95" s="9" t="s">
        <v>44</v>
      </c>
    </row>
    <row r="96" spans="1:13">
      <c r="H96" s="5" t="s">
        <v>20</v>
      </c>
      <c r="I96" t="s">
        <v>25</v>
      </c>
      <c r="J96" s="12" t="s">
        <v>45</v>
      </c>
      <c r="K96" s="12"/>
    </row>
    <row r="97" spans="8:13">
      <c r="H97" s="6" t="s">
        <v>6</v>
      </c>
      <c r="I97">
        <v>33</v>
      </c>
    </row>
    <row r="98" spans="8:13">
      <c r="H98" s="6" t="s">
        <v>17</v>
      </c>
      <c r="I98">
        <v>22</v>
      </c>
    </row>
    <row r="99" spans="8:13">
      <c r="H99" s="6" t="s">
        <v>10</v>
      </c>
      <c r="I99">
        <v>20</v>
      </c>
    </row>
    <row r="100" spans="8:13">
      <c r="H100" s="6" t="s">
        <v>14</v>
      </c>
      <c r="I100">
        <v>16</v>
      </c>
    </row>
    <row r="101" spans="8:13">
      <c r="H101" s="6" t="s">
        <v>21</v>
      </c>
      <c r="I101">
        <v>91</v>
      </c>
    </row>
    <row r="103" spans="8:13" ht="15.6">
      <c r="J103" s="13" t="s">
        <v>46</v>
      </c>
      <c r="K103" s="13"/>
      <c r="L103" s="13"/>
      <c r="M103" s="13"/>
    </row>
    <row r="104" spans="8:13" ht="15.6">
      <c r="J104" s="13"/>
      <c r="K104" s="13"/>
      <c r="L104" s="13"/>
      <c r="M104" s="13"/>
    </row>
    <row r="105" spans="8:13" ht="15.6">
      <c r="J105" s="13" t="s">
        <v>47</v>
      </c>
      <c r="K105" s="13"/>
      <c r="L105" s="13"/>
      <c r="M105" s="13"/>
    </row>
    <row r="106" spans="8:13" ht="15.6">
      <c r="J106" s="14"/>
      <c r="K106" s="13"/>
      <c r="L106" s="13"/>
      <c r="M106" s="13"/>
    </row>
    <row r="107" spans="8:13" ht="15.6">
      <c r="J107" s="14" t="s">
        <v>48</v>
      </c>
      <c r="K107" s="13"/>
      <c r="L107" s="13"/>
      <c r="M107" s="13"/>
    </row>
    <row r="108" spans="8:13" ht="15.6">
      <c r="J108" s="14" t="s">
        <v>49</v>
      </c>
      <c r="K108" s="13"/>
      <c r="L108" s="13"/>
      <c r="M108" s="13"/>
    </row>
    <row r="109" spans="8:13" ht="15.6">
      <c r="J109" s="13"/>
      <c r="K109" s="13"/>
      <c r="L109" s="13"/>
      <c r="M109" s="13"/>
    </row>
    <row r="114" spans="6:12" ht="23.4">
      <c r="G114" s="17" t="s">
        <v>50</v>
      </c>
      <c r="H114" s="17"/>
      <c r="L114" s="16"/>
    </row>
    <row r="116" spans="6:12">
      <c r="F116" s="5" t="s">
        <v>51</v>
      </c>
      <c r="G116" t="s">
        <v>22</v>
      </c>
    </row>
    <row r="117" spans="6:12">
      <c r="F117" s="6" t="s">
        <v>19</v>
      </c>
      <c r="G117">
        <v>9600</v>
      </c>
    </row>
    <row r="118" spans="6:12">
      <c r="F118" s="6" t="s">
        <v>11</v>
      </c>
      <c r="G118">
        <v>5000</v>
      </c>
    </row>
    <row r="119" spans="6:12">
      <c r="F119" s="6" t="s">
        <v>15</v>
      </c>
      <c r="G119">
        <v>3900</v>
      </c>
    </row>
    <row r="120" spans="6:12">
      <c r="F120" s="6" t="s">
        <v>21</v>
      </c>
      <c r="G120">
        <v>18500</v>
      </c>
    </row>
    <row r="141" spans="6:7">
      <c r="F141" s="5" t="s">
        <v>20</v>
      </c>
      <c r="G141" t="s">
        <v>25</v>
      </c>
    </row>
    <row r="142" spans="6:7">
      <c r="F142" s="6" t="s">
        <v>16</v>
      </c>
      <c r="G142">
        <v>7</v>
      </c>
    </row>
    <row r="143" spans="6:7">
      <c r="F143" s="6" t="s">
        <v>13</v>
      </c>
      <c r="G143">
        <v>2</v>
      </c>
    </row>
    <row r="144" spans="6:7">
      <c r="F144" s="6" t="s">
        <v>21</v>
      </c>
      <c r="G144">
        <v>9</v>
      </c>
    </row>
    <row r="154" spans="6:7">
      <c r="F154" s="5" t="s">
        <v>20</v>
      </c>
      <c r="G154" t="s">
        <v>22</v>
      </c>
    </row>
    <row r="155" spans="6:7">
      <c r="F155" s="6" t="s">
        <v>6</v>
      </c>
      <c r="G155">
        <v>122900</v>
      </c>
    </row>
    <row r="156" spans="6:7">
      <c r="F156" s="6" t="s">
        <v>21</v>
      </c>
      <c r="G156">
        <v>122900</v>
      </c>
    </row>
    <row r="175" spans="5:8" ht="23.4">
      <c r="E175" s="15"/>
      <c r="F175" s="15"/>
      <c r="G175" s="18" t="s">
        <v>52</v>
      </c>
      <c r="H175" s="18"/>
    </row>
    <row r="176" spans="5:8">
      <c r="F176" s="5" t="s">
        <v>0</v>
      </c>
      <c r="G176" s="5" t="s">
        <v>1</v>
      </c>
      <c r="H176" t="s">
        <v>22</v>
      </c>
    </row>
    <row r="177" spans="6:8">
      <c r="F177" t="s">
        <v>17</v>
      </c>
      <c r="H177">
        <v>150750</v>
      </c>
    </row>
    <row r="178" spans="6:8">
      <c r="G178" t="s">
        <v>18</v>
      </c>
      <c r="H178">
        <v>144000</v>
      </c>
    </row>
    <row r="179" spans="6:8">
      <c r="G179" t="s">
        <v>11</v>
      </c>
      <c r="H179">
        <v>6750</v>
      </c>
    </row>
    <row r="180" spans="6:8">
      <c r="F180" t="s">
        <v>6</v>
      </c>
      <c r="H180">
        <v>122900</v>
      </c>
    </row>
    <row r="181" spans="6:8">
      <c r="G181" t="s">
        <v>19</v>
      </c>
      <c r="H181">
        <v>10500</v>
      </c>
    </row>
    <row r="182" spans="6:8">
      <c r="G182" t="s">
        <v>15</v>
      </c>
      <c r="H182">
        <v>4400</v>
      </c>
    </row>
    <row r="183" spans="6:8">
      <c r="G183" t="s">
        <v>7</v>
      </c>
      <c r="H183">
        <v>100000</v>
      </c>
    </row>
    <row r="184" spans="6:8">
      <c r="G184" t="s">
        <v>11</v>
      </c>
      <c r="H184">
        <v>8000</v>
      </c>
    </row>
    <row r="185" spans="6:8">
      <c r="F185" t="s">
        <v>14</v>
      </c>
      <c r="H185">
        <v>104200</v>
      </c>
    </row>
    <row r="186" spans="6:8">
      <c r="G186" t="s">
        <v>19</v>
      </c>
      <c r="H186">
        <v>11200</v>
      </c>
    </row>
    <row r="187" spans="6:8">
      <c r="G187" t="s">
        <v>15</v>
      </c>
      <c r="H187">
        <v>6000</v>
      </c>
    </row>
    <row r="188" spans="6:8">
      <c r="G188" t="s">
        <v>7</v>
      </c>
      <c r="H188">
        <v>51000</v>
      </c>
    </row>
    <row r="189" spans="6:8">
      <c r="G189" t="s">
        <v>18</v>
      </c>
      <c r="H189">
        <v>36000</v>
      </c>
    </row>
    <row r="190" spans="6:8">
      <c r="F190" t="s">
        <v>10</v>
      </c>
      <c r="H190">
        <v>70500</v>
      </c>
    </row>
    <row r="191" spans="6:8">
      <c r="G191" t="s">
        <v>19</v>
      </c>
      <c r="H191">
        <v>9600</v>
      </c>
    </row>
    <row r="192" spans="6:8">
      <c r="G192" t="s">
        <v>15</v>
      </c>
      <c r="H192">
        <v>3900</v>
      </c>
    </row>
    <row r="193" spans="6:12">
      <c r="G193" t="s">
        <v>7</v>
      </c>
      <c r="H193">
        <v>52000</v>
      </c>
    </row>
    <row r="194" spans="6:12">
      <c r="G194" t="s">
        <v>11</v>
      </c>
      <c r="H194">
        <v>5000</v>
      </c>
    </row>
    <row r="195" spans="6:12">
      <c r="F195" t="s">
        <v>21</v>
      </c>
      <c r="H195">
        <v>448350</v>
      </c>
    </row>
    <row r="202" spans="6:12" ht="21">
      <c r="I202" s="28"/>
      <c r="J202" s="28"/>
      <c r="K202" s="28"/>
      <c r="L202" s="28"/>
    </row>
    <row r="203" spans="6:12" ht="23.4">
      <c r="F203" s="20"/>
      <c r="G203" s="19" t="s">
        <v>53</v>
      </c>
      <c r="H203" s="19"/>
      <c r="I203" s="28" t="s">
        <v>108</v>
      </c>
      <c r="J203" s="28"/>
      <c r="K203" s="28" t="s">
        <v>108</v>
      </c>
      <c r="L203" s="28"/>
    </row>
    <row r="204" spans="6:12" ht="21">
      <c r="I204" s="28" t="s">
        <v>109</v>
      </c>
      <c r="J204" s="28" t="s">
        <v>110</v>
      </c>
      <c r="K204" s="28"/>
      <c r="L204" s="28"/>
    </row>
    <row r="205" spans="6:12">
      <c r="F205" s="1" t="s">
        <v>54</v>
      </c>
      <c r="G205" s="1" t="s">
        <v>55</v>
      </c>
      <c r="H205" s="1" t="s">
        <v>56</v>
      </c>
      <c r="I205" s="1" t="s">
        <v>66</v>
      </c>
      <c r="J205" s="1" t="s">
        <v>67</v>
      </c>
    </row>
    <row r="206" spans="6:12">
      <c r="F206" s="2" t="s">
        <v>5</v>
      </c>
      <c r="G206" s="2" t="s">
        <v>57</v>
      </c>
      <c r="H206" s="2">
        <v>92</v>
      </c>
      <c r="I206" t="str">
        <f>IF(H206&gt;=50,"PASS","FAIL")</f>
        <v>PASS</v>
      </c>
      <c r="J206" t="str">
        <f t="shared" ref="J206:J215" si="0">IF(H206&gt;=80,"Excellent",IF(H206&gt;=50,"Good","Average"))</f>
        <v>Excellent</v>
      </c>
    </row>
    <row r="207" spans="6:12">
      <c r="F207" s="2" t="s">
        <v>9</v>
      </c>
      <c r="G207" s="2" t="s">
        <v>58</v>
      </c>
      <c r="H207" s="2">
        <v>45</v>
      </c>
      <c r="I207" t="str">
        <f t="shared" ref="I207:I215" si="1">IF(H207&gt;=50,"PASS","FAIL")</f>
        <v>FAIL</v>
      </c>
      <c r="J207" t="str">
        <f t="shared" si="0"/>
        <v>Average</v>
      </c>
    </row>
    <row r="208" spans="6:12">
      <c r="F208" s="2" t="s">
        <v>13</v>
      </c>
      <c r="G208" s="2" t="s">
        <v>59</v>
      </c>
      <c r="H208" s="2">
        <v>67</v>
      </c>
      <c r="I208" t="str">
        <f t="shared" si="1"/>
        <v>PASS</v>
      </c>
      <c r="J208" t="str">
        <f t="shared" si="0"/>
        <v>Good</v>
      </c>
    </row>
    <row r="209" spans="6:10">
      <c r="F209" s="2" t="s">
        <v>16</v>
      </c>
      <c r="G209" s="2" t="s">
        <v>57</v>
      </c>
      <c r="H209" s="2">
        <v>34</v>
      </c>
      <c r="I209" t="str">
        <f t="shared" si="1"/>
        <v>FAIL</v>
      </c>
      <c r="J209" t="str">
        <f t="shared" si="0"/>
        <v>Average</v>
      </c>
    </row>
    <row r="210" spans="6:10">
      <c r="F210" s="2" t="s">
        <v>60</v>
      </c>
      <c r="G210" s="2" t="s">
        <v>58</v>
      </c>
      <c r="H210" s="2">
        <v>88</v>
      </c>
      <c r="I210" t="str">
        <f t="shared" si="1"/>
        <v>PASS</v>
      </c>
      <c r="J210" t="str">
        <f t="shared" si="0"/>
        <v>Excellent</v>
      </c>
    </row>
    <row r="211" spans="6:10">
      <c r="F211" s="2" t="s">
        <v>61</v>
      </c>
      <c r="G211" s="2" t="s">
        <v>59</v>
      </c>
      <c r="H211" s="2">
        <v>76</v>
      </c>
      <c r="I211" t="str">
        <f t="shared" si="1"/>
        <v>PASS</v>
      </c>
      <c r="J211" t="str">
        <f t="shared" si="0"/>
        <v>Good</v>
      </c>
    </row>
    <row r="212" spans="6:10">
      <c r="F212" s="2" t="s">
        <v>62</v>
      </c>
      <c r="G212" s="2" t="s">
        <v>57</v>
      </c>
      <c r="H212" s="2">
        <v>55</v>
      </c>
      <c r="I212" t="str">
        <f t="shared" si="1"/>
        <v>PASS</v>
      </c>
      <c r="J212" t="str">
        <f t="shared" si="0"/>
        <v>Good</v>
      </c>
    </row>
    <row r="213" spans="6:10">
      <c r="F213" s="2" t="s">
        <v>63</v>
      </c>
      <c r="G213" s="2" t="s">
        <v>58</v>
      </c>
      <c r="H213" s="2">
        <v>29</v>
      </c>
      <c r="I213" t="str">
        <f t="shared" si="1"/>
        <v>FAIL</v>
      </c>
      <c r="J213" t="str">
        <f t="shared" si="0"/>
        <v>Average</v>
      </c>
    </row>
    <row r="214" spans="6:10">
      <c r="F214" s="2" t="s">
        <v>64</v>
      </c>
      <c r="G214" s="2" t="s">
        <v>59</v>
      </c>
      <c r="H214" s="2">
        <v>81</v>
      </c>
      <c r="I214" t="str">
        <f t="shared" si="1"/>
        <v>PASS</v>
      </c>
      <c r="J214" t="str">
        <f t="shared" si="0"/>
        <v>Excellent</v>
      </c>
    </row>
    <row r="215" spans="6:10">
      <c r="F215" s="2" t="s">
        <v>65</v>
      </c>
      <c r="G215" s="2" t="s">
        <v>57</v>
      </c>
      <c r="H215" s="2">
        <v>49</v>
      </c>
      <c r="I215" t="str">
        <f t="shared" si="1"/>
        <v>FAIL</v>
      </c>
      <c r="J215" t="str">
        <f t="shared" si="0"/>
        <v>Average</v>
      </c>
    </row>
    <row r="218" spans="6:10">
      <c r="H218" s="1" t="s">
        <v>68</v>
      </c>
    </row>
    <row r="219" spans="6:10">
      <c r="H219" s="21">
        <f>COUNTIF(H206:H215,"&gt;50")</f>
        <v>6</v>
      </c>
    </row>
    <row r="223" spans="6:10" ht="23.4">
      <c r="F223" s="18" t="s">
        <v>70</v>
      </c>
      <c r="G223" s="18"/>
    </row>
    <row r="225" spans="6:13" ht="18">
      <c r="H225" s="11" t="s">
        <v>71</v>
      </c>
      <c r="I225" s="11"/>
      <c r="J225" s="11"/>
    </row>
    <row r="226" spans="6:13">
      <c r="F226" s="1" t="s">
        <v>69</v>
      </c>
      <c r="G226" s="1" t="s">
        <v>56</v>
      </c>
      <c r="I226" s="12">
        <f>COUNTIF(G227:G231,"&gt;50")</f>
        <v>3</v>
      </c>
    </row>
    <row r="227" spans="6:13" ht="18">
      <c r="F227" s="2" t="s">
        <v>5</v>
      </c>
      <c r="G227" s="2">
        <v>92</v>
      </c>
      <c r="H227" s="11" t="s">
        <v>72</v>
      </c>
      <c r="I227" s="11"/>
    </row>
    <row r="228" spans="6:13">
      <c r="F228" s="2" t="s">
        <v>9</v>
      </c>
      <c r="G228" s="2">
        <v>45</v>
      </c>
      <c r="I228" s="12">
        <f>COUNTIF(G227:G231,"&lt;50")</f>
        <v>2</v>
      </c>
    </row>
    <row r="229" spans="6:13" ht="18">
      <c r="F229" s="2" t="s">
        <v>13</v>
      </c>
      <c r="G229" s="2">
        <v>67</v>
      </c>
      <c r="H229" s="11" t="s">
        <v>73</v>
      </c>
      <c r="I229" s="11"/>
      <c r="J229" s="11"/>
    </row>
    <row r="230" spans="6:13">
      <c r="F230" s="2" t="s">
        <v>16</v>
      </c>
      <c r="G230" s="2">
        <v>34</v>
      </c>
      <c r="I230" s="12">
        <f>COUNTIF(G227:G231,"=88")</f>
        <v>1</v>
      </c>
    </row>
    <row r="231" spans="6:13">
      <c r="F231" s="2" t="s">
        <v>60</v>
      </c>
      <c r="G231" s="2">
        <v>88</v>
      </c>
      <c r="H231" s="12" t="s">
        <v>74</v>
      </c>
      <c r="I231" s="12"/>
      <c r="J231" s="12"/>
      <c r="K231" s="12"/>
      <c r="L231" s="12"/>
    </row>
    <row r="232" spans="6:13" ht="31.2">
      <c r="H232" s="23" t="s">
        <v>75</v>
      </c>
      <c r="I232" s="12"/>
      <c r="J232" s="12"/>
      <c r="K232" s="12"/>
      <c r="L232" s="12"/>
    </row>
    <row r="233" spans="6:13">
      <c r="H233" s="12" t="s">
        <v>47</v>
      </c>
      <c r="I233" s="12" t="s">
        <v>76</v>
      </c>
      <c r="J233" s="12"/>
      <c r="K233" s="12"/>
      <c r="L233" s="12"/>
    </row>
    <row r="234" spans="6:13">
      <c r="H234" s="12"/>
      <c r="I234" s="12" t="s">
        <v>77</v>
      </c>
      <c r="J234" s="12"/>
      <c r="K234" s="12"/>
      <c r="L234" s="12"/>
    </row>
    <row r="235" spans="6:13">
      <c r="H235" s="12"/>
      <c r="I235" s="12" t="s">
        <v>78</v>
      </c>
      <c r="J235" s="12"/>
      <c r="K235" s="12"/>
      <c r="L235" s="12"/>
    </row>
    <row r="238" spans="6:13" ht="23.4">
      <c r="F238" s="24" t="s">
        <v>79</v>
      </c>
      <c r="G238" s="24"/>
      <c r="I238" s="22" t="s">
        <v>80</v>
      </c>
      <c r="J238" s="22"/>
      <c r="K238" s="22"/>
      <c r="L238" s="12"/>
      <c r="M238" s="12"/>
    </row>
    <row r="239" spans="6:13">
      <c r="I239" s="12"/>
      <c r="J239" s="12"/>
      <c r="K239" s="12"/>
      <c r="L239" s="12"/>
      <c r="M239" s="12"/>
    </row>
    <row r="240" spans="6:13" ht="31.2">
      <c r="F240" s="1" t="s">
        <v>69</v>
      </c>
      <c r="G240" s="1" t="s">
        <v>56</v>
      </c>
      <c r="I240" s="23" t="s">
        <v>81</v>
      </c>
      <c r="J240" s="12"/>
      <c r="K240" s="12"/>
      <c r="L240" s="12"/>
      <c r="M240" s="12"/>
    </row>
    <row r="241" spans="6:13">
      <c r="F241" s="2" t="s">
        <v>5</v>
      </c>
      <c r="G241" s="2">
        <v>92</v>
      </c>
      <c r="I241" s="12"/>
      <c r="J241" s="12"/>
      <c r="K241" s="12"/>
      <c r="L241" s="12"/>
      <c r="M241" s="12"/>
    </row>
    <row r="242" spans="6:13">
      <c r="F242" s="2" t="s">
        <v>9</v>
      </c>
      <c r="G242" s="2">
        <v>45</v>
      </c>
      <c r="I242" s="12" t="s">
        <v>47</v>
      </c>
      <c r="J242" s="12"/>
      <c r="K242" s="12"/>
      <c r="L242" s="12"/>
      <c r="M242" s="12"/>
    </row>
    <row r="243" spans="6:13">
      <c r="F243" s="2" t="s">
        <v>13</v>
      </c>
      <c r="G243" s="2">
        <v>67</v>
      </c>
      <c r="I243" s="25"/>
      <c r="J243" s="12"/>
      <c r="K243" s="12"/>
      <c r="L243" s="12"/>
      <c r="M243" s="12"/>
    </row>
    <row r="244" spans="6:13">
      <c r="F244" s="2" t="s">
        <v>16</v>
      </c>
      <c r="G244" s="2">
        <v>34</v>
      </c>
      <c r="I244" s="25" t="s">
        <v>82</v>
      </c>
      <c r="J244" s="12"/>
      <c r="K244" s="12"/>
      <c r="L244" s="12"/>
      <c r="M244" s="12"/>
    </row>
    <row r="245" spans="6:13">
      <c r="F245" s="2" t="s">
        <v>60</v>
      </c>
      <c r="G245" s="2">
        <v>88</v>
      </c>
      <c r="I245" s="25" t="s">
        <v>83</v>
      </c>
      <c r="J245" s="12"/>
      <c r="K245" s="12"/>
      <c r="L245" s="12"/>
      <c r="M245" s="12"/>
    </row>
    <row r="246" spans="6:13">
      <c r="I246" s="25" t="s">
        <v>84</v>
      </c>
      <c r="J246" s="12"/>
      <c r="K246" s="12"/>
      <c r="L246" s="12"/>
      <c r="M246" s="12"/>
    </row>
    <row r="248" spans="6:13" ht="18">
      <c r="F248" s="11" t="s">
        <v>85</v>
      </c>
      <c r="G248" s="11"/>
      <c r="H248" s="11"/>
      <c r="I248" s="11"/>
    </row>
    <row r="249" spans="6:13">
      <c r="G249" s="12">
        <f>SUMIF(G241:G245,"&gt;50")</f>
        <v>247</v>
      </c>
    </row>
    <row r="250" spans="6:13" ht="18">
      <c r="F250" s="11" t="s">
        <v>86</v>
      </c>
      <c r="G250" s="11"/>
    </row>
    <row r="251" spans="6:13">
      <c r="G251" s="12">
        <f>SUMIF(G241:G245,"&lt;50")</f>
        <v>79</v>
      </c>
    </row>
    <row r="253" spans="6:13" ht="18">
      <c r="F253" s="1" t="s">
        <v>0</v>
      </c>
      <c r="G253" s="1" t="s">
        <v>87</v>
      </c>
      <c r="H253" s="11" t="s">
        <v>88</v>
      </c>
    </row>
    <row r="254" spans="6:13" ht="18">
      <c r="F254" s="2" t="s">
        <v>6</v>
      </c>
      <c r="G254" s="2">
        <v>100000</v>
      </c>
      <c r="H254" s="11"/>
      <c r="I254" s="12">
        <f ca="1">SUMIF(F254:G256,"south",G254:G256)</f>
        <v>110500</v>
      </c>
    </row>
    <row r="255" spans="6:13">
      <c r="F255" s="2" t="s">
        <v>10</v>
      </c>
      <c r="G255" s="2">
        <v>5000</v>
      </c>
    </row>
    <row r="256" spans="6:13">
      <c r="F256" s="2" t="s">
        <v>6</v>
      </c>
      <c r="G256" s="2">
        <v>10500</v>
      </c>
    </row>
    <row r="261" spans="5:12">
      <c r="F261" s="26" t="s">
        <v>89</v>
      </c>
      <c r="G261" s="12" t="s">
        <v>90</v>
      </c>
      <c r="H261" s="12"/>
      <c r="I261" s="12"/>
      <c r="J261" s="12"/>
      <c r="K261" s="12"/>
      <c r="L261" s="12"/>
    </row>
    <row r="262" spans="5:12" ht="31.2">
      <c r="G262" s="23" t="s">
        <v>91</v>
      </c>
      <c r="H262" s="12"/>
      <c r="I262" s="12"/>
      <c r="J262" s="12"/>
      <c r="K262" s="12"/>
      <c r="L262" s="12"/>
    </row>
    <row r="263" spans="5:12" ht="28.8">
      <c r="E263" s="1" t="s">
        <v>1</v>
      </c>
      <c r="F263" s="1" t="s">
        <v>95</v>
      </c>
      <c r="G263" s="12" t="s">
        <v>47</v>
      </c>
      <c r="H263" s="12"/>
      <c r="I263" s="12"/>
      <c r="J263" s="12"/>
      <c r="K263" s="12"/>
      <c r="L263" s="12"/>
    </row>
    <row r="264" spans="5:12">
      <c r="E264" s="2" t="s">
        <v>7</v>
      </c>
      <c r="F264" s="2">
        <v>50000</v>
      </c>
      <c r="G264" s="25" t="s">
        <v>92</v>
      </c>
      <c r="H264" s="12"/>
      <c r="I264" s="12"/>
      <c r="J264" s="12"/>
      <c r="K264" s="12"/>
      <c r="L264" s="12"/>
    </row>
    <row r="265" spans="5:12">
      <c r="E265" s="2" t="s">
        <v>11</v>
      </c>
      <c r="F265" s="2">
        <v>500</v>
      </c>
      <c r="G265" s="25" t="s">
        <v>93</v>
      </c>
      <c r="H265" s="12"/>
      <c r="I265" s="12"/>
      <c r="J265" s="12"/>
      <c r="K265" s="12"/>
      <c r="L265" s="12"/>
    </row>
    <row r="266" spans="5:12">
      <c r="E266" s="2" t="s">
        <v>18</v>
      </c>
      <c r="F266" s="2">
        <v>20000</v>
      </c>
      <c r="G266" s="25" t="s">
        <v>94</v>
      </c>
      <c r="H266" s="12"/>
      <c r="I266" s="12"/>
      <c r="J266" s="12"/>
      <c r="K266" s="12"/>
      <c r="L266" s="12"/>
    </row>
    <row r="268" spans="5:12">
      <c r="F268" s="12" t="s">
        <v>96</v>
      </c>
      <c r="G268" s="12"/>
      <c r="H268" s="12"/>
      <c r="J268" s="27"/>
      <c r="K268" s="27"/>
      <c r="L268" s="27"/>
    </row>
    <row r="269" spans="5:12">
      <c r="F269" s="25" t="s">
        <v>99</v>
      </c>
      <c r="G269" s="12"/>
      <c r="H269" s="12"/>
      <c r="J269" s="27"/>
      <c r="K269" s="27"/>
      <c r="L269" s="27"/>
    </row>
    <row r="270" spans="5:12">
      <c r="F270" s="12" t="s">
        <v>97</v>
      </c>
      <c r="G270" s="12"/>
      <c r="H270" s="12" t="s">
        <v>98</v>
      </c>
    </row>
    <row r="272" spans="5:12">
      <c r="F272" s="1" t="s">
        <v>100</v>
      </c>
      <c r="G272" s="1" t="s">
        <v>101</v>
      </c>
      <c r="H272" s="1" t="s">
        <v>102</v>
      </c>
      <c r="J272" s="1"/>
      <c r="K272" s="1"/>
    </row>
    <row r="273" spans="3:13">
      <c r="F273" s="2" t="s">
        <v>103</v>
      </c>
      <c r="G273" s="2" t="s">
        <v>1</v>
      </c>
      <c r="H273" s="2" t="s">
        <v>95</v>
      </c>
      <c r="J273" s="2"/>
    </row>
    <row r="274" spans="3:13">
      <c r="F274" s="2" t="s">
        <v>104</v>
      </c>
      <c r="G274" s="2" t="s">
        <v>7</v>
      </c>
      <c r="H274" s="2">
        <v>50000</v>
      </c>
      <c r="K274" s="29" t="s">
        <v>134</v>
      </c>
    </row>
    <row r="275" spans="3:13">
      <c r="F275" s="2" t="s">
        <v>105</v>
      </c>
      <c r="G275" s="2" t="s">
        <v>11</v>
      </c>
      <c r="H275" s="2">
        <v>500</v>
      </c>
      <c r="K275" t="s">
        <v>113</v>
      </c>
      <c r="M275" t="s">
        <v>116</v>
      </c>
    </row>
    <row r="276" spans="3:13">
      <c r="F276" s="2" t="s">
        <v>106</v>
      </c>
      <c r="G276" s="2" t="s">
        <v>18</v>
      </c>
      <c r="H276" s="2">
        <v>20000</v>
      </c>
      <c r="K276" s="30" t="s">
        <v>1</v>
      </c>
      <c r="L276" s="30" t="s">
        <v>114</v>
      </c>
    </row>
    <row r="277" spans="3:13">
      <c r="F277" s="2" t="s">
        <v>107</v>
      </c>
      <c r="G277" s="2" t="s">
        <v>15</v>
      </c>
      <c r="H277" s="2">
        <v>1200</v>
      </c>
      <c r="K277" s="12" t="s">
        <v>104</v>
      </c>
      <c r="L277" s="12" t="str">
        <f>VLOOKUP(K277,G280:H284,2,FALSE)</f>
        <v>Laptop</v>
      </c>
    </row>
    <row r="279" spans="3:13" ht="18">
      <c r="G279" s="22" t="s">
        <v>112</v>
      </c>
      <c r="H279" s="22"/>
      <c r="I279" s="22"/>
    </row>
    <row r="280" spans="3:13">
      <c r="G280" s="31" t="s">
        <v>111</v>
      </c>
      <c r="H280" s="32" t="s">
        <v>1</v>
      </c>
      <c r="I280" s="32" t="s">
        <v>95</v>
      </c>
      <c r="K280" s="29" t="s">
        <v>135</v>
      </c>
    </row>
    <row r="281" spans="3:13">
      <c r="G281" s="2" t="s">
        <v>104</v>
      </c>
      <c r="H281" t="str">
        <f>VLOOKUP(G281,F273:H277,2,FALSE)</f>
        <v>Laptop</v>
      </c>
      <c r="I281">
        <f>VLOOKUP(G281,F273:H277,3,FALSE)</f>
        <v>50000</v>
      </c>
      <c r="K281" t="s">
        <v>117</v>
      </c>
    </row>
    <row r="282" spans="3:13">
      <c r="G282" s="2" t="s">
        <v>105</v>
      </c>
      <c r="H282" t="str">
        <f t="shared" ref="H282:H284" si="2">VLOOKUP(G282,F274:H278,2,FALSE)</f>
        <v>Mouse</v>
      </c>
      <c r="I282">
        <f t="shared" ref="I282:I284" si="3">VLOOKUP(G282,F274:H278,3,FALSE)</f>
        <v>500</v>
      </c>
      <c r="K282" s="30" t="s">
        <v>1</v>
      </c>
      <c r="L282" s="30" t="s">
        <v>95</v>
      </c>
    </row>
    <row r="283" spans="3:13" ht="21">
      <c r="C283" s="28" t="s">
        <v>133</v>
      </c>
      <c r="D283" s="28"/>
      <c r="E283" s="28"/>
      <c r="G283" s="2" t="s">
        <v>106</v>
      </c>
      <c r="H283" t="str">
        <f t="shared" si="2"/>
        <v>Mobile</v>
      </c>
      <c r="I283">
        <f t="shared" si="3"/>
        <v>20000</v>
      </c>
      <c r="K283" s="12" t="s">
        <v>107</v>
      </c>
      <c r="L283" s="12">
        <f>VLOOKUP(K283,G280:I284,3,FALSE)</f>
        <v>1200</v>
      </c>
    </row>
    <row r="284" spans="3:13" ht="28.8">
      <c r="C284" s="1" t="s">
        <v>126</v>
      </c>
      <c r="D284" s="1" t="s">
        <v>127</v>
      </c>
      <c r="E284" s="1" t="s">
        <v>128</v>
      </c>
      <c r="G284" s="2" t="s">
        <v>107</v>
      </c>
      <c r="H284" t="str">
        <f t="shared" si="2"/>
        <v>Keyboard</v>
      </c>
      <c r="I284">
        <f t="shared" si="3"/>
        <v>1200</v>
      </c>
    </row>
    <row r="285" spans="3:13">
      <c r="C285" s="2" t="s">
        <v>129</v>
      </c>
      <c r="D285" s="2" t="s">
        <v>5</v>
      </c>
      <c r="E285" s="2">
        <v>25000</v>
      </c>
      <c r="K285" t="s">
        <v>121</v>
      </c>
    </row>
    <row r="286" spans="3:13">
      <c r="C286" s="2" t="s">
        <v>130</v>
      </c>
      <c r="D286" s="2" t="s">
        <v>9</v>
      </c>
      <c r="E286" s="2">
        <v>30000</v>
      </c>
      <c r="K286" s="29" t="s">
        <v>136</v>
      </c>
    </row>
    <row r="287" spans="3:13">
      <c r="C287" s="2" t="s">
        <v>131</v>
      </c>
      <c r="D287" s="2" t="s">
        <v>13</v>
      </c>
      <c r="E287" s="2">
        <v>28000</v>
      </c>
      <c r="F287" t="s">
        <v>139</v>
      </c>
      <c r="H287" t="s">
        <v>141</v>
      </c>
      <c r="K287" t="s">
        <v>120</v>
      </c>
    </row>
    <row r="288" spans="3:13">
      <c r="C288" s="2" t="s">
        <v>132</v>
      </c>
      <c r="D288" s="2" t="s">
        <v>16</v>
      </c>
      <c r="E288" s="2">
        <v>35000</v>
      </c>
      <c r="F288" s="29" t="s">
        <v>140</v>
      </c>
      <c r="H288" t="s">
        <v>118</v>
      </c>
      <c r="K288" s="30" t="s">
        <v>1</v>
      </c>
      <c r="L288" s="30" t="s">
        <v>122</v>
      </c>
    </row>
    <row r="289" spans="5:13">
      <c r="F289" t="s">
        <v>115</v>
      </c>
      <c r="H289" s="29" t="s">
        <v>144</v>
      </c>
      <c r="K289" s="12" t="s">
        <v>123</v>
      </c>
      <c r="L289" s="12" t="e">
        <f>VLOOKUP(K289,G280:I284,2,FALSE)</f>
        <v>#N/A</v>
      </c>
      <c r="M289" t="s">
        <v>145</v>
      </c>
    </row>
    <row r="290" spans="5:13" ht="18">
      <c r="F290" s="33" t="s">
        <v>138</v>
      </c>
      <c r="G290" s="11"/>
      <c r="H290" t="s">
        <v>119</v>
      </c>
    </row>
    <row r="291" spans="5:13" ht="15.6">
      <c r="E291" s="30" t="s">
        <v>142</v>
      </c>
      <c r="F291" s="30" t="s">
        <v>143</v>
      </c>
      <c r="H291" s="34" t="s">
        <v>128</v>
      </c>
      <c r="K291" t="s">
        <v>125</v>
      </c>
    </row>
    <row r="292" spans="5:13">
      <c r="E292" s="12" t="s">
        <v>131</v>
      </c>
      <c r="F292" s="12" t="str">
        <f>VLOOKUP(E292,C284:E288,2,FALSE)</f>
        <v>Arun</v>
      </c>
      <c r="H292" s="30" t="s">
        <v>142</v>
      </c>
      <c r="I292" s="30" t="s">
        <v>128</v>
      </c>
      <c r="K292" s="29" t="s">
        <v>137</v>
      </c>
      <c r="L292" t="s">
        <v>124</v>
      </c>
    </row>
    <row r="293" spans="5:13" ht="15" customHeight="1">
      <c r="H293" s="12" t="s">
        <v>132</v>
      </c>
      <c r="I293" s="12">
        <f>VLOOKUP(H293,C284:E288,3,FALSE)</f>
        <v>35000</v>
      </c>
      <c r="K293" s="30" t="s">
        <v>1</v>
      </c>
      <c r="L293" s="30" t="s">
        <v>95</v>
      </c>
    </row>
    <row r="294" spans="5:13">
      <c r="K294" s="12" t="s">
        <v>105</v>
      </c>
      <c r="L294" s="12">
        <f>VLOOKUP(K294,G280:I284,3,FALSE)</f>
        <v>500</v>
      </c>
    </row>
    <row r="296" spans="5:13" ht="18">
      <c r="I296" s="22" t="s">
        <v>152</v>
      </c>
      <c r="J296" s="22"/>
      <c r="K296" s="22"/>
      <c r="L296" s="22"/>
    </row>
    <row r="297" spans="5:13">
      <c r="J297" t="s">
        <v>146</v>
      </c>
    </row>
    <row r="298" spans="5:13">
      <c r="J298" s="29" t="s">
        <v>155</v>
      </c>
    </row>
    <row r="299" spans="5:13">
      <c r="J299" t="s">
        <v>147</v>
      </c>
    </row>
    <row r="300" spans="5:13">
      <c r="J300" s="29" t="s">
        <v>148</v>
      </c>
    </row>
    <row r="301" spans="5:13">
      <c r="J301" s="29" t="s">
        <v>149</v>
      </c>
    </row>
    <row r="302" spans="5:13">
      <c r="J302" s="29" t="s">
        <v>150</v>
      </c>
    </row>
    <row r="303" spans="5:13">
      <c r="J303" s="35" t="s">
        <v>151</v>
      </c>
    </row>
    <row r="304" spans="5:13">
      <c r="I304" s="30" t="s">
        <v>153</v>
      </c>
      <c r="J304" s="30" t="s">
        <v>114</v>
      </c>
      <c r="K304" s="12"/>
    </row>
    <row r="305" spans="4:11">
      <c r="I305" s="12" t="s">
        <v>154</v>
      </c>
      <c r="J305" s="12" t="str">
        <f>IFERROR(VLOOKUP(I305,G280:I284,2,FALSE),"PROUDECT NOT FOUND")</f>
        <v>PROUDECT NOT FOUND</v>
      </c>
      <c r="K305" s="12"/>
    </row>
    <row r="309" spans="4:11" ht="23.4">
      <c r="F309" s="8" t="s">
        <v>156</v>
      </c>
      <c r="G309" s="26"/>
      <c r="H309" s="36" t="s">
        <v>165</v>
      </c>
      <c r="I309" s="36"/>
      <c r="J309" s="36"/>
      <c r="K309" s="36"/>
    </row>
    <row r="310" spans="4:11" ht="23.4">
      <c r="D310" s="22" t="s">
        <v>157</v>
      </c>
      <c r="E310" s="22"/>
      <c r="F310" s="22"/>
      <c r="G310" s="22"/>
      <c r="H310" s="40" t="s">
        <v>127</v>
      </c>
      <c r="I310" s="40" t="s">
        <v>0</v>
      </c>
      <c r="J310" s="40" t="s">
        <v>1</v>
      </c>
      <c r="K310" s="40" t="s">
        <v>95</v>
      </c>
    </row>
    <row r="311" spans="4:11" ht="18">
      <c r="D311" s="22" t="s">
        <v>158</v>
      </c>
      <c r="E311" s="22"/>
      <c r="F311" s="22"/>
      <c r="G311" s="22"/>
      <c r="H311" s="38" t="s">
        <v>61</v>
      </c>
      <c r="I311" s="38" t="s">
        <v>17</v>
      </c>
      <c r="J311" s="38" t="s">
        <v>7</v>
      </c>
      <c r="K311" s="39">
        <v>52000</v>
      </c>
    </row>
    <row r="312" spans="4:11" ht="18">
      <c r="D312" s="37" t="s">
        <v>159</v>
      </c>
      <c r="E312" s="22"/>
      <c r="F312" s="22"/>
      <c r="G312" s="12"/>
      <c r="H312" s="38" t="s">
        <v>5</v>
      </c>
      <c r="I312" s="38" t="s">
        <v>6</v>
      </c>
      <c r="J312" s="38" t="s">
        <v>7</v>
      </c>
      <c r="K312" s="39">
        <v>50000</v>
      </c>
    </row>
    <row r="313" spans="4:11" ht="18">
      <c r="D313" s="37" t="s">
        <v>160</v>
      </c>
      <c r="E313" s="22"/>
      <c r="F313" s="22"/>
      <c r="G313" s="22"/>
      <c r="H313" s="38" t="s">
        <v>166</v>
      </c>
      <c r="I313" s="38" t="s">
        <v>6</v>
      </c>
      <c r="J313" s="38" t="s">
        <v>18</v>
      </c>
      <c r="K313" s="39">
        <v>21000</v>
      </c>
    </row>
    <row r="314" spans="4:11" ht="18">
      <c r="D314" s="37" t="s">
        <v>161</v>
      </c>
      <c r="E314" s="22"/>
      <c r="F314" s="22"/>
      <c r="G314" s="22"/>
      <c r="H314" s="38" t="s">
        <v>13</v>
      </c>
      <c r="I314" s="38" t="s">
        <v>14</v>
      </c>
      <c r="J314" s="38" t="s">
        <v>18</v>
      </c>
      <c r="K314" s="39">
        <v>20000</v>
      </c>
    </row>
    <row r="315" spans="4:11" ht="18">
      <c r="D315" s="37" t="s">
        <v>162</v>
      </c>
      <c r="E315" s="22"/>
      <c r="F315" s="22"/>
      <c r="G315" s="22"/>
      <c r="H315" s="38" t="s">
        <v>60</v>
      </c>
      <c r="I315" s="38" t="s">
        <v>10</v>
      </c>
      <c r="J315" s="38" t="s">
        <v>19</v>
      </c>
      <c r="K315" s="39">
        <v>1500</v>
      </c>
    </row>
    <row r="316" spans="4:11" ht="18">
      <c r="D316" s="37" t="s">
        <v>163</v>
      </c>
      <c r="E316" s="22"/>
      <c r="F316" s="22"/>
      <c r="G316" s="22"/>
      <c r="H316" s="38" t="s">
        <v>64</v>
      </c>
      <c r="I316" s="38" t="s">
        <v>10</v>
      </c>
      <c r="J316" s="38" t="s">
        <v>15</v>
      </c>
      <c r="K316" s="39">
        <v>1300</v>
      </c>
    </row>
    <row r="317" spans="4:11" ht="18">
      <c r="D317" s="37" t="s">
        <v>164</v>
      </c>
      <c r="E317" s="22"/>
      <c r="F317" s="22"/>
      <c r="G317" s="22"/>
      <c r="H317" s="38" t="s">
        <v>16</v>
      </c>
      <c r="I317" s="38" t="s">
        <v>17</v>
      </c>
      <c r="J317" s="38" t="s">
        <v>15</v>
      </c>
      <c r="K317" s="39">
        <v>1200</v>
      </c>
    </row>
    <row r="318" spans="4:11" ht="18">
      <c r="G318" s="11"/>
      <c r="H318" s="38" t="s">
        <v>9</v>
      </c>
      <c r="I318" s="38" t="s">
        <v>10</v>
      </c>
      <c r="J318" s="38" t="s">
        <v>11</v>
      </c>
      <c r="K318" s="39">
        <v>500</v>
      </c>
    </row>
    <row r="319" spans="4:11" ht="18">
      <c r="G319" s="11"/>
      <c r="H319" s="38" t="s">
        <v>63</v>
      </c>
      <c r="I319" s="38" t="s">
        <v>14</v>
      </c>
      <c r="J319" s="38" t="s">
        <v>11</v>
      </c>
      <c r="K319" s="39">
        <v>450</v>
      </c>
    </row>
    <row r="320" spans="4:11" ht="18">
      <c r="D320" s="11"/>
      <c r="E320" s="11"/>
      <c r="F320" s="11"/>
      <c r="G320" s="11"/>
    </row>
    <row r="321" spans="4:13" ht="18">
      <c r="D321" s="11"/>
      <c r="E321" s="11"/>
      <c r="F321" s="11"/>
      <c r="G321" s="11"/>
    </row>
    <row r="325" spans="4:13" ht="23.4">
      <c r="G325" s="8" t="s">
        <v>167</v>
      </c>
      <c r="H325" s="8"/>
      <c r="I325" s="8"/>
      <c r="J325" s="8"/>
      <c r="K325" s="8"/>
    </row>
    <row r="326" spans="4:13" ht="15.6">
      <c r="K326" s="42" t="s">
        <v>168</v>
      </c>
      <c r="L326" s="42"/>
      <c r="M326" s="12"/>
    </row>
    <row r="327" spans="4:13" ht="15.6">
      <c r="K327" s="42" t="s">
        <v>169</v>
      </c>
      <c r="L327" s="42"/>
      <c r="M327" s="12"/>
    </row>
    <row r="328" spans="4:13" ht="23.4">
      <c r="H328" s="1" t="s">
        <v>0</v>
      </c>
      <c r="I328" s="1" t="s">
        <v>87</v>
      </c>
      <c r="K328" s="41" t="s">
        <v>170</v>
      </c>
      <c r="L328" s="36"/>
      <c r="M328" s="12"/>
    </row>
    <row r="329" spans="4:13" ht="23.4">
      <c r="H329" s="2" t="s">
        <v>6</v>
      </c>
      <c r="I329" s="2">
        <v>120000</v>
      </c>
      <c r="K329" s="12" t="s">
        <v>171</v>
      </c>
      <c r="L329" s="12"/>
      <c r="M329" s="36"/>
    </row>
    <row r="330" spans="4:13">
      <c r="H330" s="2" t="s">
        <v>10</v>
      </c>
      <c r="I330" s="2">
        <v>70000</v>
      </c>
      <c r="K330" s="25"/>
      <c r="L330" s="25" t="s">
        <v>172</v>
      </c>
    </row>
    <row r="331" spans="4:13">
      <c r="H331" s="2" t="s">
        <v>14</v>
      </c>
      <c r="I331" s="2">
        <v>100000</v>
      </c>
      <c r="L331" s="25" t="s">
        <v>173</v>
      </c>
    </row>
    <row r="332" spans="4:13">
      <c r="H332" s="2" t="s">
        <v>17</v>
      </c>
      <c r="I332" s="2">
        <v>150000</v>
      </c>
      <c r="L332" s="12"/>
    </row>
    <row r="333" spans="4:13">
      <c r="K333" s="43" t="s">
        <v>184</v>
      </c>
      <c r="L333" s="43"/>
      <c r="M333" s="43"/>
    </row>
    <row r="334" spans="4:13">
      <c r="G334" s="43" t="s">
        <v>185</v>
      </c>
      <c r="K334" s="44" t="s">
        <v>174</v>
      </c>
      <c r="L334" s="44" t="s">
        <v>175</v>
      </c>
    </row>
    <row r="335" spans="4:13" ht="28.8">
      <c r="K335" s="45" t="s">
        <v>176</v>
      </c>
      <c r="L335" s="45" t="s">
        <v>177</v>
      </c>
    </row>
    <row r="336" spans="4:13" ht="28.8">
      <c r="G336" s="46" t="s">
        <v>0</v>
      </c>
      <c r="H336" s="46" t="s">
        <v>87</v>
      </c>
      <c r="K336" s="45" t="s">
        <v>178</v>
      </c>
      <c r="L336" s="45" t="s">
        <v>179</v>
      </c>
    </row>
    <row r="337" spans="7:12" ht="28.8">
      <c r="G337" s="2" t="s">
        <v>6</v>
      </c>
      <c r="H337" s="2">
        <v>120000</v>
      </c>
      <c r="K337" s="45" t="s">
        <v>180</v>
      </c>
      <c r="L337" s="45" t="s">
        <v>181</v>
      </c>
    </row>
    <row r="338" spans="7:12" ht="28.8">
      <c r="G338" s="2" t="s">
        <v>10</v>
      </c>
      <c r="H338" s="2">
        <v>70000</v>
      </c>
      <c r="K338" s="45" t="s">
        <v>182</v>
      </c>
      <c r="L338" s="45" t="s">
        <v>183</v>
      </c>
    </row>
    <row r="339" spans="7:12">
      <c r="G339" s="2" t="s">
        <v>14</v>
      </c>
      <c r="H339" s="2">
        <v>100000</v>
      </c>
    </row>
    <row r="340" spans="7:12">
      <c r="G340" s="2" t="s">
        <v>17</v>
      </c>
      <c r="H340" s="2">
        <v>150000</v>
      </c>
    </row>
    <row r="343" spans="7:12">
      <c r="I343" s="12" t="s">
        <v>187</v>
      </c>
      <c r="J343" s="12"/>
    </row>
    <row r="344" spans="7:12">
      <c r="G344" s="43" t="s">
        <v>186</v>
      </c>
      <c r="I344" s="25" t="s">
        <v>188</v>
      </c>
      <c r="J344" s="12"/>
    </row>
    <row r="345" spans="7:12">
      <c r="I345" s="25" t="s">
        <v>189</v>
      </c>
      <c r="J345" s="12"/>
    </row>
    <row r="346" spans="7:12" ht="28.8">
      <c r="G346" s="1" t="s">
        <v>1</v>
      </c>
      <c r="H346" s="1" t="s">
        <v>3</v>
      </c>
      <c r="I346" s="44" t="s">
        <v>190</v>
      </c>
      <c r="J346" s="12"/>
    </row>
    <row r="347" spans="7:12">
      <c r="G347" s="2" t="s">
        <v>7</v>
      </c>
      <c r="H347" s="2">
        <v>20</v>
      </c>
      <c r="I347" s="2"/>
    </row>
    <row r="348" spans="7:12">
      <c r="G348" s="2" t="s">
        <v>18</v>
      </c>
      <c r="H348" s="2">
        <v>35</v>
      </c>
      <c r="I348" s="2"/>
    </row>
    <row r="349" spans="7:12">
      <c r="G349" s="2" t="s">
        <v>15</v>
      </c>
      <c r="H349" s="2">
        <v>15</v>
      </c>
      <c r="I349" s="2"/>
    </row>
    <row r="350" spans="7:12">
      <c r="G350" s="2" t="s">
        <v>19</v>
      </c>
      <c r="H350" s="2">
        <v>10</v>
      </c>
      <c r="I350" s="2"/>
    </row>
    <row r="351" spans="7:12">
      <c r="G351" s="2" t="s">
        <v>11</v>
      </c>
      <c r="H351" s="2">
        <v>25</v>
      </c>
      <c r="I351" s="2"/>
    </row>
    <row r="366" spans="7:8">
      <c r="G366" s="43" t="s">
        <v>191</v>
      </c>
    </row>
    <row r="368" spans="7:8">
      <c r="G368" s="1" t="s">
        <v>2</v>
      </c>
      <c r="H368" s="1" t="s">
        <v>87</v>
      </c>
    </row>
    <row r="369" spans="7:9">
      <c r="G369" s="2" t="s">
        <v>8</v>
      </c>
      <c r="H369" s="2">
        <v>50000</v>
      </c>
    </row>
    <row r="370" spans="7:9">
      <c r="G370" s="2" t="s">
        <v>12</v>
      </c>
      <c r="H370" s="2">
        <v>20000</v>
      </c>
    </row>
    <row r="371" spans="7:9">
      <c r="G371" s="2" t="s">
        <v>192</v>
      </c>
      <c r="H371" s="2">
        <v>30000</v>
      </c>
    </row>
    <row r="372" spans="7:9">
      <c r="G372" s="2" t="s">
        <v>193</v>
      </c>
      <c r="H372" s="2">
        <v>10000</v>
      </c>
    </row>
    <row r="377" spans="7:9">
      <c r="H377" s="12" t="s">
        <v>195</v>
      </c>
      <c r="I377" s="12"/>
    </row>
    <row r="378" spans="7:9">
      <c r="G378" s="43" t="s">
        <v>194</v>
      </c>
      <c r="H378" s="47" t="s">
        <v>196</v>
      </c>
      <c r="I378" s="12"/>
    </row>
    <row r="379" spans="7:9">
      <c r="H379" s="12" t="s">
        <v>47</v>
      </c>
      <c r="I379" s="12"/>
    </row>
    <row r="380" spans="7:9">
      <c r="H380" s="25" t="s">
        <v>197</v>
      </c>
      <c r="I380" s="12"/>
    </row>
    <row r="381" spans="7:9">
      <c r="H381" s="25" t="s">
        <v>198</v>
      </c>
      <c r="I381" s="12"/>
    </row>
    <row r="383" spans="7:9">
      <c r="G383" s="1" t="s">
        <v>199</v>
      </c>
      <c r="H383" s="1" t="s">
        <v>87</v>
      </c>
    </row>
    <row r="384" spans="7:9">
      <c r="G384" s="2" t="s">
        <v>200</v>
      </c>
      <c r="H384" s="2">
        <v>20000</v>
      </c>
    </row>
    <row r="385" spans="4:8">
      <c r="G385" s="2" t="s">
        <v>201</v>
      </c>
      <c r="H385" s="2">
        <v>25000</v>
      </c>
    </row>
    <row r="386" spans="4:8">
      <c r="G386" s="2" t="s">
        <v>202</v>
      </c>
      <c r="H386" s="2">
        <v>22000</v>
      </c>
    </row>
    <row r="387" spans="4:8">
      <c r="G387" s="2" t="s">
        <v>203</v>
      </c>
      <c r="H387" s="2">
        <v>30000</v>
      </c>
    </row>
    <row r="388" spans="4:8">
      <c r="G388" s="2" t="s">
        <v>204</v>
      </c>
      <c r="H388" s="2">
        <v>35000</v>
      </c>
    </row>
    <row r="389" spans="4:8">
      <c r="G389" s="2" t="s">
        <v>205</v>
      </c>
      <c r="H389" s="2">
        <v>40000</v>
      </c>
    </row>
    <row r="393" spans="4:8" ht="23.4">
      <c r="F393" s="8" t="s">
        <v>206</v>
      </c>
      <c r="G393" s="26"/>
      <c r="H393" s="42" t="s">
        <v>211</v>
      </c>
    </row>
    <row r="394" spans="4:8" ht="15.6">
      <c r="H394" s="48" t="s">
        <v>207</v>
      </c>
    </row>
    <row r="395" spans="4:8" ht="15.6">
      <c r="D395" s="1" t="s">
        <v>199</v>
      </c>
      <c r="E395" s="1" t="s">
        <v>87</v>
      </c>
      <c r="F395" s="1" t="s">
        <v>212</v>
      </c>
      <c r="H395" s="48" t="s">
        <v>208</v>
      </c>
    </row>
    <row r="396" spans="4:8" ht="15.6">
      <c r="D396" s="2" t="s">
        <v>200</v>
      </c>
      <c r="E396" s="2">
        <v>20000</v>
      </c>
      <c r="F396" s="2">
        <v>2000</v>
      </c>
      <c r="H396" s="48" t="s">
        <v>209</v>
      </c>
    </row>
    <row r="397" spans="4:8" ht="15.6">
      <c r="D397" s="2" t="s">
        <v>201</v>
      </c>
      <c r="E397" s="2">
        <v>25000</v>
      </c>
      <c r="F397" s="2">
        <v>2500</v>
      </c>
      <c r="H397" s="42" t="s">
        <v>210</v>
      </c>
    </row>
    <row r="398" spans="4:8">
      <c r="D398" s="2" t="s">
        <v>202</v>
      </c>
      <c r="E398" s="2">
        <v>22000</v>
      </c>
      <c r="F398" s="2">
        <v>1800</v>
      </c>
    </row>
    <row r="399" spans="4:8">
      <c r="D399" s="2" t="s">
        <v>203</v>
      </c>
      <c r="E399" s="2">
        <v>30000</v>
      </c>
      <c r="F399" s="2">
        <v>3500</v>
      </c>
    </row>
    <row r="400" spans="4:8">
      <c r="D400" s="2" t="s">
        <v>204</v>
      </c>
      <c r="E400" s="2">
        <v>35000</v>
      </c>
      <c r="F400" s="2">
        <v>4000</v>
      </c>
    </row>
    <row r="401" spans="4:11">
      <c r="D401" s="2" t="s">
        <v>205</v>
      </c>
      <c r="E401" s="2">
        <v>40000</v>
      </c>
      <c r="F401" s="2">
        <v>5000</v>
      </c>
    </row>
    <row r="411" spans="4:11" ht="21">
      <c r="F411" s="49" t="s">
        <v>213</v>
      </c>
      <c r="G411" s="12" t="s">
        <v>214</v>
      </c>
      <c r="H411" s="12"/>
    </row>
    <row r="412" spans="4:11" ht="15.6">
      <c r="G412" s="51" t="s">
        <v>215</v>
      </c>
      <c r="H412" s="42"/>
      <c r="I412" s="50"/>
      <c r="J412" s="50"/>
      <c r="K412" s="50"/>
    </row>
    <row r="413" spans="4:11">
      <c r="G413" s="12" t="s">
        <v>47</v>
      </c>
      <c r="H413" s="12"/>
    </row>
    <row r="414" spans="4:11">
      <c r="G414" s="25" t="s">
        <v>216</v>
      </c>
      <c r="H414" s="12"/>
    </row>
    <row r="415" spans="4:11">
      <c r="G415" s="25" t="s">
        <v>217</v>
      </c>
      <c r="H415" s="12"/>
    </row>
  </sheetData>
  <sortState xmlns:xlrd2="http://schemas.microsoft.com/office/spreadsheetml/2017/richdata2" ref="H311:K320">
    <sortCondition descending="1" ref="K311:K320"/>
  </sortState>
  <phoneticPr fontId="8" type="noConversion"/>
  <pageMargins left="0.7" right="0.7" top="0.75" bottom="0.75" header="0.3" footer="0.3"/>
  <drawing r:id="rId18"/>
  <tableParts count="6">
    <tablePart r:id="rId19"/>
    <tablePart r:id="rId20"/>
    <tablePart r:id="rId21"/>
    <tablePart r:id="rId22"/>
    <tablePart r:id="rId23"/>
    <tablePart r:id="rId24"/>
  </tableParts>
  <extLst>
    <ext xmlns:x14="http://schemas.microsoft.com/office/spreadsheetml/2009/9/main" uri="{A8765BA9-456A-4dab-B4F3-ACF838C121DE}">
      <x14:slicerList>
        <x14:slicer r:id="rId2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01E3-5288-42A7-B30E-83950B10C94C}">
  <dimension ref="B2:K24"/>
  <sheetViews>
    <sheetView topLeftCell="A7" workbookViewId="0">
      <selection activeCell="C20" sqref="C20:E24"/>
    </sheetView>
  </sheetViews>
  <sheetFormatPr defaultRowHeight="14.4"/>
  <sheetData>
    <row r="2" spans="2:10" ht="23.4">
      <c r="E2" s="8" t="s">
        <v>218</v>
      </c>
      <c r="F2" s="8"/>
    </row>
    <row r="3" spans="2:10" ht="31.2">
      <c r="G3" s="23" t="s">
        <v>224</v>
      </c>
      <c r="H3" s="12"/>
      <c r="I3" s="12"/>
      <c r="J3" s="12"/>
    </row>
    <row r="4" spans="2:10">
      <c r="G4" s="12" t="s">
        <v>225</v>
      </c>
      <c r="H4" s="12"/>
      <c r="I4" s="12"/>
      <c r="J4" s="12"/>
    </row>
    <row r="5" spans="2:10">
      <c r="B5" s="1" t="s">
        <v>219</v>
      </c>
      <c r="C5" s="1" t="s">
        <v>220</v>
      </c>
      <c r="G5" s="12" t="s">
        <v>226</v>
      </c>
      <c r="H5" s="12"/>
      <c r="I5" s="12"/>
      <c r="J5" s="12"/>
    </row>
    <row r="6" spans="2:10" ht="28.8">
      <c r="B6" s="2" t="s">
        <v>4</v>
      </c>
      <c r="C6" s="2">
        <v>172000</v>
      </c>
      <c r="G6" s="25" t="s">
        <v>235</v>
      </c>
      <c r="H6" s="12"/>
      <c r="I6" s="12"/>
      <c r="J6" s="12"/>
    </row>
    <row r="7" spans="2:10" ht="28.8">
      <c r="B7" s="2" t="s">
        <v>221</v>
      </c>
      <c r="C7" s="2">
        <v>18800</v>
      </c>
      <c r="G7" s="25" t="s">
        <v>236</v>
      </c>
      <c r="H7" s="12"/>
      <c r="I7" s="12"/>
      <c r="J7" s="12"/>
    </row>
    <row r="8" spans="2:10" ht="28.8">
      <c r="B8" s="2" t="s">
        <v>222</v>
      </c>
      <c r="C8" s="2" t="s">
        <v>17</v>
      </c>
      <c r="G8" s="25" t="s">
        <v>237</v>
      </c>
      <c r="H8" s="12"/>
      <c r="I8" s="12"/>
      <c r="J8" s="12"/>
    </row>
    <row r="9" spans="2:10" ht="28.8">
      <c r="B9" s="2" t="s">
        <v>223</v>
      </c>
      <c r="C9" s="2" t="s">
        <v>205</v>
      </c>
      <c r="G9" s="25" t="s">
        <v>238</v>
      </c>
      <c r="H9" s="12"/>
      <c r="I9" s="12"/>
      <c r="J9" s="12"/>
    </row>
    <row r="10" spans="2:10">
      <c r="G10" s="25" t="s">
        <v>239</v>
      </c>
      <c r="H10" s="12"/>
      <c r="I10" s="12"/>
      <c r="J10" s="12"/>
    </row>
    <row r="11" spans="2:10">
      <c r="G11" s="12" t="s">
        <v>227</v>
      </c>
      <c r="H11" s="12"/>
      <c r="I11" s="12"/>
      <c r="J11" s="12"/>
    </row>
    <row r="12" spans="2:10">
      <c r="G12" s="12" t="s">
        <v>228</v>
      </c>
      <c r="H12" s="12"/>
      <c r="I12" s="12"/>
      <c r="J12" s="12"/>
    </row>
    <row r="13" spans="2:10">
      <c r="G13" s="25" t="s">
        <v>229</v>
      </c>
      <c r="H13" s="12"/>
      <c r="I13" s="12"/>
      <c r="J13" s="12"/>
    </row>
    <row r="14" spans="2:10">
      <c r="G14" s="25" t="s">
        <v>230</v>
      </c>
      <c r="H14" s="12"/>
      <c r="I14" s="12"/>
      <c r="J14" s="12"/>
    </row>
    <row r="15" spans="2:10">
      <c r="G15" s="25" t="s">
        <v>231</v>
      </c>
      <c r="H15" s="12"/>
      <c r="I15" s="12"/>
      <c r="J15" s="12"/>
    </row>
    <row r="16" spans="2:10">
      <c r="G16" s="12" t="s">
        <v>232</v>
      </c>
      <c r="H16" s="12"/>
      <c r="I16" s="12"/>
      <c r="J16" s="12"/>
    </row>
    <row r="17" spans="3:11" ht="31.2">
      <c r="G17" s="51" t="s">
        <v>233</v>
      </c>
      <c r="H17" s="51"/>
      <c r="I17" s="23" t="s">
        <v>234</v>
      </c>
      <c r="J17" s="12"/>
      <c r="K17" s="12"/>
    </row>
    <row r="18" spans="3:11">
      <c r="I18" s="52"/>
      <c r="J18" s="52"/>
    </row>
    <row r="19" spans="3:11" ht="23.4">
      <c r="C19" s="54" t="s">
        <v>241</v>
      </c>
      <c r="D19" s="54"/>
      <c r="E19" s="54"/>
      <c r="G19" s="52"/>
      <c r="H19" s="52"/>
      <c r="I19" s="52"/>
      <c r="J19" s="52"/>
    </row>
    <row r="20" spans="3:11">
      <c r="C20" s="1" t="s">
        <v>0</v>
      </c>
      <c r="D20" s="1" t="s">
        <v>87</v>
      </c>
      <c r="E20" s="1" t="s">
        <v>212</v>
      </c>
      <c r="G20" s="52"/>
      <c r="H20" s="52"/>
      <c r="I20" s="52"/>
      <c r="J20" s="52"/>
    </row>
    <row r="21" spans="3:11">
      <c r="C21" s="2" t="s">
        <v>6</v>
      </c>
      <c r="D21" s="2">
        <v>120000</v>
      </c>
      <c r="E21" s="2">
        <v>12000</v>
      </c>
      <c r="G21" s="52"/>
      <c r="H21" s="52"/>
      <c r="I21" s="52"/>
      <c r="J21" s="52"/>
    </row>
    <row r="22" spans="3:11">
      <c r="C22" s="2" t="s">
        <v>10</v>
      </c>
      <c r="D22" s="2">
        <v>70000</v>
      </c>
      <c r="E22" s="2">
        <v>7000</v>
      </c>
      <c r="G22" s="52"/>
      <c r="H22" s="52"/>
      <c r="I22" s="52"/>
      <c r="J22" s="52"/>
    </row>
    <row r="23" spans="3:11">
      <c r="C23" s="2" t="s">
        <v>14</v>
      </c>
      <c r="D23" s="2">
        <v>100000</v>
      </c>
      <c r="E23" s="2">
        <v>9000</v>
      </c>
    </row>
    <row r="24" spans="3:11">
      <c r="C24" s="2" t="s">
        <v>17</v>
      </c>
      <c r="D24" s="2">
        <v>150000</v>
      </c>
      <c r="E24" s="2">
        <v>18000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0FFF6-C0FE-4F49-A9DC-DD8A2388EF2C}">
  <dimension ref="A3:L28"/>
  <sheetViews>
    <sheetView topLeftCell="A7" zoomScale="85" workbookViewId="0">
      <selection activeCell="I35" sqref="I35"/>
    </sheetView>
  </sheetViews>
  <sheetFormatPr defaultRowHeight="14.4"/>
  <cols>
    <col min="1" max="1" width="12.5546875" bestFit="1" customWidth="1"/>
    <col min="2" max="2" width="12.109375" bestFit="1" customWidth="1"/>
  </cols>
  <sheetData>
    <row r="3" spans="1:2" ht="18">
      <c r="A3" s="56" t="s">
        <v>219</v>
      </c>
      <c r="B3" s="56" t="s">
        <v>220</v>
      </c>
    </row>
    <row r="4" spans="1:2" ht="15.6">
      <c r="A4" s="57" t="s">
        <v>4</v>
      </c>
      <c r="B4" s="58">
        <v>440000</v>
      </c>
    </row>
    <row r="5" spans="1:2" ht="15.6">
      <c r="A5" s="57" t="s">
        <v>221</v>
      </c>
      <c r="B5" s="58">
        <v>46000</v>
      </c>
    </row>
    <row r="6" spans="1:2" ht="15.6">
      <c r="A6" s="57" t="s">
        <v>222</v>
      </c>
      <c r="B6" s="57" t="s">
        <v>17</v>
      </c>
    </row>
    <row r="10" spans="1:2" ht="15.6">
      <c r="A10" s="55" t="s">
        <v>242</v>
      </c>
      <c r="B10" s="55"/>
    </row>
    <row r="12" spans="1:2">
      <c r="A12" s="5" t="s">
        <v>20</v>
      </c>
      <c r="B12" t="s">
        <v>240</v>
      </c>
    </row>
    <row r="13" spans="1:2">
      <c r="A13" s="6" t="s">
        <v>6</v>
      </c>
      <c r="B13" s="53">
        <v>120000</v>
      </c>
    </row>
    <row r="14" spans="1:2">
      <c r="A14" s="6" t="s">
        <v>21</v>
      </c>
      <c r="B14" s="53">
        <v>120000</v>
      </c>
    </row>
    <row r="18" spans="1:12">
      <c r="L18" t="s">
        <v>245</v>
      </c>
    </row>
    <row r="24" spans="1:12" ht="15.6">
      <c r="A24" s="55" t="s">
        <v>244</v>
      </c>
      <c r="B24" s="55"/>
    </row>
    <row r="26" spans="1:12">
      <c r="A26" s="5" t="s">
        <v>20</v>
      </c>
      <c r="B26" t="s">
        <v>243</v>
      </c>
    </row>
    <row r="27" spans="1:12">
      <c r="A27" s="6" t="s">
        <v>6</v>
      </c>
      <c r="B27" s="53">
        <v>12000</v>
      </c>
    </row>
    <row r="28" spans="1:12">
      <c r="A28" s="6" t="s">
        <v>21</v>
      </c>
      <c r="B28" s="53">
        <v>12000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EA5BE-E82A-4AFE-B419-A250AA5CA981}">
  <dimension ref="A3:F15"/>
  <sheetViews>
    <sheetView workbookViewId="0">
      <selection activeCell="C13" sqref="A4:F15"/>
    </sheetView>
  </sheetViews>
  <sheetFormatPr defaultRowHeight="14.4"/>
  <cols>
    <col min="1" max="1" width="12.109375" customWidth="1"/>
    <col min="2" max="2" width="11.33203125" customWidth="1"/>
    <col min="3" max="3" width="14.5546875" customWidth="1"/>
    <col min="4" max="4" width="14.21875" customWidth="1"/>
    <col min="5" max="5" width="14.6640625" customWidth="1"/>
    <col min="6" max="6" width="12.44140625" customWidth="1"/>
    <col min="9" max="9" width="18.6640625" customWidth="1"/>
  </cols>
  <sheetData>
    <row r="3" spans="1:6">
      <c r="A3" s="1" t="s">
        <v>199</v>
      </c>
      <c r="B3" s="1" t="s">
        <v>0</v>
      </c>
      <c r="C3" s="1" t="s">
        <v>1</v>
      </c>
      <c r="D3" s="1" t="s">
        <v>3</v>
      </c>
      <c r="E3" s="59" t="s">
        <v>87</v>
      </c>
      <c r="F3" s="59" t="s">
        <v>212</v>
      </c>
    </row>
    <row r="4" spans="1:6">
      <c r="A4" s="2" t="s">
        <v>200</v>
      </c>
      <c r="B4" s="2" t="s">
        <v>6</v>
      </c>
      <c r="C4" s="2" t="s">
        <v>7</v>
      </c>
      <c r="D4" s="2">
        <v>5</v>
      </c>
      <c r="E4" s="60">
        <v>250000</v>
      </c>
      <c r="F4" s="60">
        <v>30000</v>
      </c>
    </row>
    <row r="5" spans="1:6">
      <c r="A5" s="2" t="s">
        <v>200</v>
      </c>
      <c r="B5" s="2" t="s">
        <v>10</v>
      </c>
      <c r="C5" s="2" t="s">
        <v>18</v>
      </c>
      <c r="D5" s="2">
        <v>10</v>
      </c>
      <c r="E5" s="60">
        <v>150000</v>
      </c>
      <c r="F5" s="60">
        <v>20000</v>
      </c>
    </row>
    <row r="6" spans="1:6">
      <c r="A6" s="2" t="s">
        <v>201</v>
      </c>
      <c r="B6" s="2" t="s">
        <v>14</v>
      </c>
      <c r="C6" s="2" t="s">
        <v>15</v>
      </c>
      <c r="D6" s="2">
        <v>20</v>
      </c>
      <c r="E6" s="60">
        <v>24000</v>
      </c>
      <c r="F6" s="60">
        <v>5000</v>
      </c>
    </row>
    <row r="7" spans="1:6">
      <c r="A7" s="2" t="s">
        <v>201</v>
      </c>
      <c r="B7" s="2" t="s">
        <v>17</v>
      </c>
      <c r="C7" s="2" t="s">
        <v>11</v>
      </c>
      <c r="D7" s="2">
        <v>30</v>
      </c>
      <c r="E7" s="60">
        <v>15000</v>
      </c>
      <c r="F7" s="60">
        <v>4000</v>
      </c>
    </row>
    <row r="8" spans="1:6">
      <c r="A8" s="2" t="s">
        <v>202</v>
      </c>
      <c r="B8" s="2" t="s">
        <v>6</v>
      </c>
      <c r="C8" s="2" t="s">
        <v>18</v>
      </c>
      <c r="D8" s="2">
        <v>8</v>
      </c>
      <c r="E8" s="60">
        <v>120000</v>
      </c>
      <c r="F8" s="60">
        <v>18000</v>
      </c>
    </row>
    <row r="9" spans="1:6">
      <c r="A9" s="2" t="s">
        <v>202</v>
      </c>
      <c r="B9" s="2" t="s">
        <v>10</v>
      </c>
      <c r="C9" s="2" t="s">
        <v>7</v>
      </c>
      <c r="D9" s="2">
        <v>4</v>
      </c>
      <c r="E9" s="60">
        <v>200000</v>
      </c>
      <c r="F9" s="60">
        <v>25000</v>
      </c>
    </row>
    <row r="10" spans="1:6">
      <c r="A10" s="2" t="s">
        <v>203</v>
      </c>
      <c r="B10" s="2" t="s">
        <v>14</v>
      </c>
      <c r="C10" s="2" t="s">
        <v>19</v>
      </c>
      <c r="D10" s="2">
        <v>12</v>
      </c>
      <c r="E10" s="60">
        <v>36000</v>
      </c>
      <c r="F10" s="60">
        <v>7000</v>
      </c>
    </row>
    <row r="11" spans="1:6">
      <c r="A11" s="2" t="s">
        <v>203</v>
      </c>
      <c r="B11" s="2" t="s">
        <v>17</v>
      </c>
      <c r="C11" s="2" t="s">
        <v>15</v>
      </c>
      <c r="D11" s="2">
        <v>15</v>
      </c>
      <c r="E11" s="60">
        <v>18000</v>
      </c>
      <c r="F11" s="60">
        <v>3500</v>
      </c>
    </row>
    <row r="12" spans="1:6">
      <c r="A12" s="2" t="s">
        <v>204</v>
      </c>
      <c r="B12" s="2" t="s">
        <v>6</v>
      </c>
      <c r="C12" s="2" t="s">
        <v>11</v>
      </c>
      <c r="D12" s="2">
        <v>25</v>
      </c>
      <c r="E12" s="60">
        <v>12500</v>
      </c>
      <c r="F12" s="60">
        <v>3000</v>
      </c>
    </row>
    <row r="13" spans="1:6">
      <c r="A13" s="2" t="s">
        <v>204</v>
      </c>
      <c r="B13" s="2" t="s">
        <v>10</v>
      </c>
      <c r="C13" s="2" t="s">
        <v>256</v>
      </c>
      <c r="D13" s="2">
        <v>10</v>
      </c>
      <c r="E13" s="60">
        <v>30000</v>
      </c>
      <c r="F13" s="60">
        <v>6000</v>
      </c>
    </row>
    <row r="14" spans="1:6">
      <c r="A14" s="2" t="s">
        <v>205</v>
      </c>
      <c r="B14" s="2" t="s">
        <v>14</v>
      </c>
      <c r="C14" s="2" t="s">
        <v>7</v>
      </c>
      <c r="D14" s="2">
        <v>6</v>
      </c>
      <c r="E14" s="60">
        <v>300000</v>
      </c>
      <c r="F14" s="60">
        <v>40000</v>
      </c>
    </row>
    <row r="15" spans="1:6">
      <c r="A15" s="2" t="s">
        <v>205</v>
      </c>
      <c r="B15" s="2" t="s">
        <v>17</v>
      </c>
      <c r="C15" s="2" t="s">
        <v>18</v>
      </c>
      <c r="D15" s="2">
        <v>9</v>
      </c>
      <c r="E15" s="60">
        <v>135000</v>
      </c>
      <c r="F15" s="60">
        <v>17000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89E44-3C94-47C2-ACA6-BBAE4CF2D4FF}">
  <dimension ref="A1:G58"/>
  <sheetViews>
    <sheetView topLeftCell="A7" zoomScale="90" workbookViewId="0">
      <selection activeCell="A8" sqref="A8:XFD8"/>
    </sheetView>
  </sheetViews>
  <sheetFormatPr defaultRowHeight="14.4"/>
  <cols>
    <col min="1" max="1" width="13.44140625" bestFit="1" customWidth="1"/>
    <col min="2" max="2" width="12.44140625" bestFit="1" customWidth="1"/>
    <col min="3" max="5" width="16.109375" bestFit="1" customWidth="1"/>
    <col min="6" max="6" width="18.77734375" customWidth="1"/>
    <col min="7" max="7" width="19.88671875" customWidth="1"/>
    <col min="8" max="12" width="16.109375" bestFit="1" customWidth="1"/>
    <col min="13" max="13" width="11.21875" bestFit="1" customWidth="1"/>
  </cols>
  <sheetData>
    <row r="1" spans="1:7" ht="22.8" customHeight="1">
      <c r="F1" s="66" t="s">
        <v>222</v>
      </c>
      <c r="G1" s="67" t="s">
        <v>6</v>
      </c>
    </row>
    <row r="2" spans="1:7" ht="30.6" customHeight="1">
      <c r="F2" s="66" t="s">
        <v>250</v>
      </c>
      <c r="G2" s="67">
        <v>15</v>
      </c>
    </row>
    <row r="3" spans="1:7" ht="21.45" customHeight="1">
      <c r="F3" s="66" t="s">
        <v>246</v>
      </c>
      <c r="G3" s="67" t="s">
        <v>7</v>
      </c>
    </row>
    <row r="4" spans="1:7" ht="21.45" customHeight="1">
      <c r="F4" s="66" t="s">
        <v>247</v>
      </c>
      <c r="G4" s="67">
        <v>154</v>
      </c>
    </row>
    <row r="5" spans="1:7" ht="21.45" customHeight="1">
      <c r="F5" s="66" t="s">
        <v>4</v>
      </c>
      <c r="G5" s="68">
        <v>1290500</v>
      </c>
    </row>
    <row r="6" spans="1:7" ht="21.45" customHeight="1">
      <c r="F6" s="66" t="s">
        <v>248</v>
      </c>
      <c r="G6" s="67" t="s">
        <v>11</v>
      </c>
    </row>
    <row r="7" spans="1:7" ht="21.45" customHeight="1">
      <c r="F7" s="66" t="s">
        <v>199</v>
      </c>
      <c r="G7" s="67" t="s">
        <v>249</v>
      </c>
    </row>
    <row r="8" spans="1:7" ht="16.2" customHeight="1">
      <c r="A8" t="s">
        <v>256</v>
      </c>
    </row>
    <row r="11" spans="1:7" ht="25.8">
      <c r="A11" s="63"/>
      <c r="B11" s="64"/>
      <c r="C11" s="52"/>
    </row>
    <row r="12" spans="1:7">
      <c r="A12" s="5" t="s">
        <v>20</v>
      </c>
      <c r="B12" t="s">
        <v>240</v>
      </c>
    </row>
    <row r="13" spans="1:7">
      <c r="A13" s="6" t="s">
        <v>6</v>
      </c>
      <c r="B13" s="61">
        <v>382500</v>
      </c>
    </row>
    <row r="14" spans="1:7">
      <c r="A14" s="62" t="s">
        <v>7</v>
      </c>
      <c r="B14" s="61">
        <v>250000</v>
      </c>
    </row>
    <row r="15" spans="1:7">
      <c r="A15" s="62" t="s">
        <v>18</v>
      </c>
      <c r="B15" s="61">
        <v>120000</v>
      </c>
    </row>
    <row r="16" spans="1:7">
      <c r="A16" s="62" t="s">
        <v>11</v>
      </c>
      <c r="B16" s="61">
        <v>12500</v>
      </c>
    </row>
    <row r="17" spans="1:2">
      <c r="A17" s="6" t="s">
        <v>10</v>
      </c>
      <c r="B17" s="61">
        <v>380000</v>
      </c>
    </row>
    <row r="18" spans="1:2">
      <c r="A18" s="62" t="s">
        <v>19</v>
      </c>
      <c r="B18" s="61">
        <v>30000</v>
      </c>
    </row>
    <row r="19" spans="1:2">
      <c r="A19" s="62" t="s">
        <v>7</v>
      </c>
      <c r="B19" s="61">
        <v>200000</v>
      </c>
    </row>
    <row r="20" spans="1:2">
      <c r="A20" s="62" t="s">
        <v>18</v>
      </c>
      <c r="B20" s="61">
        <v>150000</v>
      </c>
    </row>
    <row r="21" spans="1:2">
      <c r="A21" s="6" t="s">
        <v>14</v>
      </c>
      <c r="B21" s="61">
        <v>360000</v>
      </c>
    </row>
    <row r="22" spans="1:2">
      <c r="A22" s="62" t="s">
        <v>19</v>
      </c>
      <c r="B22" s="61">
        <v>36000</v>
      </c>
    </row>
    <row r="23" spans="1:2">
      <c r="A23" s="62" t="s">
        <v>15</v>
      </c>
      <c r="B23" s="61">
        <v>24000</v>
      </c>
    </row>
    <row r="24" spans="1:2">
      <c r="A24" s="62" t="s">
        <v>7</v>
      </c>
      <c r="B24" s="61">
        <v>300000</v>
      </c>
    </row>
    <row r="25" spans="1:2">
      <c r="A25" s="6" t="s">
        <v>17</v>
      </c>
      <c r="B25" s="61">
        <v>168000</v>
      </c>
    </row>
    <row r="26" spans="1:2">
      <c r="A26" s="62" t="s">
        <v>15</v>
      </c>
      <c r="B26" s="61">
        <v>18000</v>
      </c>
    </row>
    <row r="27" spans="1:2">
      <c r="A27" s="62" t="s">
        <v>18</v>
      </c>
      <c r="B27" s="61">
        <v>135000</v>
      </c>
    </row>
    <row r="28" spans="1:2">
      <c r="A28" s="62" t="s">
        <v>11</v>
      </c>
      <c r="B28" s="61">
        <v>15000</v>
      </c>
    </row>
    <row r="29" spans="1:2">
      <c r="A29" s="6" t="s">
        <v>21</v>
      </c>
      <c r="B29" s="61">
        <v>1290500</v>
      </c>
    </row>
    <row r="35" spans="1:3">
      <c r="A35" s="5" t="s">
        <v>20</v>
      </c>
      <c r="B35" t="s">
        <v>25</v>
      </c>
      <c r="C35" s="12"/>
    </row>
    <row r="36" spans="1:3" ht="14.55" customHeight="1">
      <c r="A36" s="6" t="s">
        <v>11</v>
      </c>
      <c r="B36" s="53">
        <v>55</v>
      </c>
    </row>
    <row r="37" spans="1:3">
      <c r="A37" s="6" t="s">
        <v>15</v>
      </c>
      <c r="B37" s="53">
        <v>35</v>
      </c>
    </row>
    <row r="38" spans="1:3">
      <c r="A38" s="6" t="s">
        <v>18</v>
      </c>
      <c r="B38" s="53">
        <v>27</v>
      </c>
    </row>
    <row r="39" spans="1:3">
      <c r="A39" s="6" t="s">
        <v>19</v>
      </c>
      <c r="B39" s="53">
        <v>22</v>
      </c>
    </row>
    <row r="40" spans="1:3">
      <c r="A40" s="6" t="s">
        <v>7</v>
      </c>
      <c r="B40" s="53">
        <v>15</v>
      </c>
    </row>
    <row r="41" spans="1:3">
      <c r="A41" s="6" t="s">
        <v>21</v>
      </c>
      <c r="B41" s="53">
        <v>154</v>
      </c>
    </row>
    <row r="51" spans="1:2">
      <c r="A51" s="5" t="s">
        <v>20</v>
      </c>
      <c r="B51" t="s">
        <v>243</v>
      </c>
    </row>
    <row r="52" spans="1:2">
      <c r="A52" s="6" t="s">
        <v>200</v>
      </c>
      <c r="B52" s="61">
        <v>50000</v>
      </c>
    </row>
    <row r="53" spans="1:2">
      <c r="A53" s="6" t="s">
        <v>201</v>
      </c>
      <c r="B53" s="61">
        <v>9000</v>
      </c>
    </row>
    <row r="54" spans="1:2">
      <c r="A54" s="6" t="s">
        <v>202</v>
      </c>
      <c r="B54" s="61">
        <v>43000</v>
      </c>
    </row>
    <row r="55" spans="1:2">
      <c r="A55" s="6" t="s">
        <v>203</v>
      </c>
      <c r="B55" s="61">
        <v>10500</v>
      </c>
    </row>
    <row r="56" spans="1:2">
      <c r="A56" s="6" t="s">
        <v>204</v>
      </c>
      <c r="B56" s="61">
        <v>9000</v>
      </c>
    </row>
    <row r="57" spans="1:2">
      <c r="A57" s="6" t="s">
        <v>205</v>
      </c>
      <c r="B57" s="61">
        <v>57000</v>
      </c>
    </row>
    <row r="58" spans="1:2">
      <c r="A58" s="6" t="s">
        <v>21</v>
      </c>
      <c r="B58" s="61">
        <v>178500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AF226-E655-412A-8B73-82AAA995A18A}">
  <dimension ref="I1:R70"/>
  <sheetViews>
    <sheetView tabSelected="1" topLeftCell="A46" zoomScale="80" workbookViewId="0">
      <selection activeCell="J71" sqref="J71"/>
    </sheetView>
  </sheetViews>
  <sheetFormatPr defaultRowHeight="14.4"/>
  <cols>
    <col min="6" max="6" width="18.77734375" customWidth="1"/>
    <col min="7" max="7" width="7.77734375" customWidth="1"/>
    <col min="8" max="8" width="0.5546875" customWidth="1"/>
    <col min="9" max="9" width="36.88671875" bestFit="1" customWidth="1"/>
    <col min="10" max="10" width="24.33203125" bestFit="1" customWidth="1"/>
  </cols>
  <sheetData>
    <row r="1" spans="9:10" ht="33">
      <c r="I1" s="65" t="s">
        <v>252</v>
      </c>
      <c r="J1" s="65" t="s">
        <v>251</v>
      </c>
    </row>
    <row r="2" spans="9:10" ht="28.8">
      <c r="I2" s="66" t="s">
        <v>222</v>
      </c>
      <c r="J2" s="67" t="s">
        <v>6</v>
      </c>
    </row>
    <row r="3" spans="9:10" ht="28.8">
      <c r="I3" s="66" t="s">
        <v>255</v>
      </c>
      <c r="J3" s="67">
        <v>15</v>
      </c>
    </row>
    <row r="4" spans="9:10" ht="28.8">
      <c r="I4" s="66" t="s">
        <v>246</v>
      </c>
      <c r="J4" s="67" t="s">
        <v>7</v>
      </c>
    </row>
    <row r="5" spans="9:10" ht="28.8">
      <c r="I5" s="66" t="s">
        <v>247</v>
      </c>
      <c r="J5" s="67">
        <v>154</v>
      </c>
    </row>
    <row r="6" spans="9:10" ht="28.8">
      <c r="I6" s="66" t="s">
        <v>4</v>
      </c>
      <c r="J6" s="68">
        <v>1290500</v>
      </c>
    </row>
    <row r="7" spans="9:10" ht="57.6">
      <c r="I7" s="66" t="s">
        <v>254</v>
      </c>
      <c r="J7" s="67" t="s">
        <v>11</v>
      </c>
    </row>
    <row r="8" spans="9:10" ht="28.8">
      <c r="I8" s="66" t="s">
        <v>253</v>
      </c>
      <c r="J8" s="67" t="s">
        <v>249</v>
      </c>
    </row>
    <row r="34" spans="18:18">
      <c r="R34">
        <v>0</v>
      </c>
    </row>
    <row r="53" spans="14:14">
      <c r="N53">
        <v>0</v>
      </c>
    </row>
    <row r="70" spans="10:10">
      <c r="J70">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Pivote &amp; formulas</vt:lpstr>
      <vt:lpstr>Dashboard Table</vt:lpstr>
      <vt:lpstr>dashboard</vt:lpstr>
      <vt:lpstr>Dash-1</vt:lpstr>
      <vt:lpstr>Dash-2</vt:lpstr>
      <vt:lpstr>Dash3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Sujitha Chowdary</dc:creator>
  <cp:lastModifiedBy>Sujitha Chowdary</cp:lastModifiedBy>
  <dcterms:created xsi:type="dcterms:W3CDTF">2026-05-23T03:26:17Z</dcterms:created>
  <dcterms:modified xsi:type="dcterms:W3CDTF">2026-05-25T15:39:59Z</dcterms:modified>
</cp:coreProperties>
</file>